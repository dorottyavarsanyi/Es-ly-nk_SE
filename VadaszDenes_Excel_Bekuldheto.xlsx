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242TAN-18.SZERUSKERT\Downloads\Es-ly-nk_SE-main (2)\Es-ly-nk_SE-main\"/>
    </mc:Choice>
  </mc:AlternateContent>
  <xr:revisionPtr revIDLastSave="0" documentId="13_ncr:1_{DFE557BB-EC8F-4C32-9789-E438D4EBB130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Etelek" sheetId="2" r:id="rId1"/>
    <sheet name="Kategoriak" sheetId="3" r:id="rId2"/>
    <sheet name="Statisztika" sheetId="4" r:id="rId3"/>
    <sheet name="Alapanyagok" sheetId="23" r:id="rId4"/>
    <sheet name="Diétakategória" sheetId="24" r:id="rId5"/>
    <sheet name="Ételek" sheetId="25" r:id="rId6"/>
    <sheet name="Hetimenűk" sheetId="26" r:id="rId7"/>
    <sheet name="Hozzávalók" sheetId="27" r:id="rId8"/>
    <sheet name="Kategóriák" sheetId="28" r:id="rId9"/>
    <sheet name="Menu" sheetId="5" r:id="rId10"/>
    <sheet name="Menu_Eredmeny" sheetId="6" r:id="rId11"/>
    <sheet name="Menu_Szálkásító Pro" sheetId="7" r:id="rId12"/>
    <sheet name="Menu_olcso_Szálkásító Pro" sheetId="8" r:id="rId13"/>
    <sheet name="Menu_Tömegnövelő Hardgainers" sheetId="9" r:id="rId14"/>
    <sheet name="Menu_olcso_Tömegnövelő Hardgain" sheetId="10" r:id="rId15"/>
    <sheet name="Menu_Ketogén Alap" sheetId="11" r:id="rId16"/>
    <sheet name="Menu_olcso_Ketogén Alap" sheetId="12" r:id="rId17"/>
    <sheet name="Menu_Irodai Wellness" sheetId="13" r:id="rId18"/>
    <sheet name="Menu_olcso_Irodai Wellness" sheetId="14" r:id="rId19"/>
    <sheet name="Menu_Low-Carb (Szénhidrátszegén" sheetId="15" r:id="rId20"/>
    <sheet name="Menu_olcso_Low-Carb (Szénhidrát" sheetId="16" r:id="rId21"/>
    <sheet name="Menu_Szívbarát (Low-Fat)" sheetId="17" r:id="rId22"/>
    <sheet name="Menu_olcso_Szívbarát (Low-Fat)" sheetId="18" r:id="rId23"/>
    <sheet name="Menu_Hosszú élet (Longevity)" sheetId="19" r:id="rId24"/>
    <sheet name="Menu_olcso_Hosszú élet (Longevi" sheetId="20" r:id="rId25"/>
    <sheet name="Menu_Hobbi Sportoló" sheetId="21" r:id="rId26"/>
    <sheet name="Menu_olcso_Hobbi Sportoló" sheetId="22" r:id="rId27"/>
  </sheets>
  <definedNames>
    <definedName name="KülsőAdatok_1" localSheetId="3" hidden="1">Alapanyagok!$A$1:$B$87</definedName>
    <definedName name="KülsőAdatok_2" localSheetId="4" hidden="1">Diétakategória!$A$1:$F$9</definedName>
    <definedName name="KülsőAdatok_3" localSheetId="5" hidden="1">Ételek!$A$1:$G$31</definedName>
    <definedName name="KülsőAdatok_4" localSheetId="6" hidden="1">Hetimenűk!$A$1:$C$41</definedName>
    <definedName name="KülsőAdatok_5" localSheetId="7" hidden="1">Hozzávalók!$A$1:$C$121</definedName>
    <definedName name="KülsőAdatok_6" localSheetId="8" hidden="1">Kategóriák!$A$1:$B$15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5" l="1"/>
  <c r="H2" i="5"/>
  <c r="H3" i="5" l="1"/>
  <c r="H4" i="5"/>
  <c r="H5" i="5"/>
  <c r="G3" i="5"/>
  <c r="G4" i="5"/>
  <c r="G5" i="5"/>
  <c r="G6" i="5"/>
  <c r="G2" i="5"/>
  <c r="F3" i="5"/>
  <c r="F4" i="5"/>
  <c r="F5" i="5"/>
  <c r="F6" i="5"/>
  <c r="F2" i="5"/>
  <c r="E3" i="5"/>
  <c r="E4" i="5"/>
  <c r="E5" i="5"/>
  <c r="E6" i="5"/>
  <c r="E2" i="5"/>
  <c r="D3" i="5"/>
  <c r="D4" i="5"/>
  <c r="D5" i="5"/>
  <c r="D6" i="5"/>
  <c r="D2" i="5"/>
  <c r="C3" i="5"/>
  <c r="C4" i="5"/>
  <c r="C5" i="5"/>
  <c r="C6" i="5"/>
  <c r="C2" i="5"/>
  <c r="H8" i="22" l="1"/>
  <c r="G8" i="22"/>
  <c r="E14" i="22" s="1"/>
  <c r="F8" i="22"/>
  <c r="E13" i="22" s="1"/>
  <c r="E8" i="22"/>
  <c r="E12" i="22" s="1"/>
  <c r="D8" i="22"/>
  <c r="E11" i="22" s="1"/>
  <c r="C8" i="22"/>
  <c r="H8" i="21"/>
  <c r="G8" i="21"/>
  <c r="E14" i="21" s="1"/>
  <c r="F8" i="21"/>
  <c r="E13" i="21" s="1"/>
  <c r="E8" i="21"/>
  <c r="E12" i="21" s="1"/>
  <c r="D8" i="21"/>
  <c r="E11" i="21" s="1"/>
  <c r="C8" i="21"/>
  <c r="H8" i="20"/>
  <c r="G8" i="20"/>
  <c r="E14" i="20" s="1"/>
  <c r="F8" i="20"/>
  <c r="E13" i="20" s="1"/>
  <c r="E8" i="20"/>
  <c r="E12" i="20" s="1"/>
  <c r="D8" i="20"/>
  <c r="E11" i="20" s="1"/>
  <c r="C8" i="20"/>
  <c r="H8" i="19"/>
  <c r="G8" i="19"/>
  <c r="E14" i="19" s="1"/>
  <c r="F8" i="19"/>
  <c r="E13" i="19" s="1"/>
  <c r="E8" i="19"/>
  <c r="E12" i="19" s="1"/>
  <c r="D8" i="19"/>
  <c r="E11" i="19" s="1"/>
  <c r="C16" i="19" s="1"/>
  <c r="C8" i="19"/>
  <c r="H8" i="18"/>
  <c r="G8" i="18"/>
  <c r="E14" i="18" s="1"/>
  <c r="F8" i="18"/>
  <c r="E13" i="18" s="1"/>
  <c r="E8" i="18"/>
  <c r="E12" i="18" s="1"/>
  <c r="D8" i="18"/>
  <c r="E11" i="18" s="1"/>
  <c r="C8" i="18"/>
  <c r="H8" i="17"/>
  <c r="G8" i="17"/>
  <c r="E14" i="17" s="1"/>
  <c r="F8" i="17"/>
  <c r="E13" i="17" s="1"/>
  <c r="E8" i="17"/>
  <c r="E12" i="17" s="1"/>
  <c r="D8" i="17"/>
  <c r="E11" i="17" s="1"/>
  <c r="C8" i="17"/>
  <c r="H8" i="16"/>
  <c r="G8" i="16"/>
  <c r="E14" i="16" s="1"/>
  <c r="F8" i="16"/>
  <c r="E13" i="16" s="1"/>
  <c r="E8" i="16"/>
  <c r="E12" i="16" s="1"/>
  <c r="D8" i="16"/>
  <c r="E11" i="16" s="1"/>
  <c r="C8" i="16"/>
  <c r="H8" i="15"/>
  <c r="G8" i="15"/>
  <c r="E14" i="15" s="1"/>
  <c r="F8" i="15"/>
  <c r="E13" i="15" s="1"/>
  <c r="E8" i="15"/>
  <c r="E12" i="15" s="1"/>
  <c r="D8" i="15"/>
  <c r="E11" i="15" s="1"/>
  <c r="C8" i="15"/>
  <c r="H8" i="14"/>
  <c r="G8" i="14"/>
  <c r="E14" i="14" s="1"/>
  <c r="F8" i="14"/>
  <c r="E13" i="14" s="1"/>
  <c r="E8" i="14"/>
  <c r="E12" i="14" s="1"/>
  <c r="D8" i="14"/>
  <c r="E11" i="14" s="1"/>
  <c r="C8" i="14"/>
  <c r="H8" i="13"/>
  <c r="G8" i="13"/>
  <c r="E14" i="13" s="1"/>
  <c r="F8" i="13"/>
  <c r="E13" i="13" s="1"/>
  <c r="E8" i="13"/>
  <c r="E12" i="13" s="1"/>
  <c r="D8" i="13"/>
  <c r="E11" i="13" s="1"/>
  <c r="C8" i="13"/>
  <c r="H8" i="12"/>
  <c r="G8" i="12"/>
  <c r="E14" i="12" s="1"/>
  <c r="F8" i="12"/>
  <c r="E13" i="12" s="1"/>
  <c r="E8" i="12"/>
  <c r="E12" i="12" s="1"/>
  <c r="D8" i="12"/>
  <c r="E11" i="12" s="1"/>
  <c r="C8" i="12"/>
  <c r="H8" i="11"/>
  <c r="G8" i="11"/>
  <c r="E14" i="11" s="1"/>
  <c r="F8" i="11"/>
  <c r="E13" i="11" s="1"/>
  <c r="E8" i="11"/>
  <c r="E12" i="11" s="1"/>
  <c r="D8" i="11"/>
  <c r="E11" i="11" s="1"/>
  <c r="C8" i="11"/>
  <c r="H8" i="10"/>
  <c r="G8" i="10"/>
  <c r="E14" i="10" s="1"/>
  <c r="F8" i="10"/>
  <c r="E13" i="10" s="1"/>
  <c r="E8" i="10"/>
  <c r="E12" i="10" s="1"/>
  <c r="D8" i="10"/>
  <c r="E11" i="10" s="1"/>
  <c r="C8" i="10"/>
  <c r="H8" i="9"/>
  <c r="G8" i="9"/>
  <c r="E14" i="9" s="1"/>
  <c r="F8" i="9"/>
  <c r="E13" i="9" s="1"/>
  <c r="E8" i="9"/>
  <c r="E12" i="9" s="1"/>
  <c r="D8" i="9"/>
  <c r="E11" i="9" s="1"/>
  <c r="C8" i="9"/>
  <c r="H8" i="8"/>
  <c r="G8" i="8"/>
  <c r="E14" i="8" s="1"/>
  <c r="F8" i="8"/>
  <c r="E13" i="8" s="1"/>
  <c r="E8" i="8"/>
  <c r="E12" i="8" s="1"/>
  <c r="D8" i="8"/>
  <c r="E11" i="8" s="1"/>
  <c r="C8" i="8"/>
  <c r="H8" i="7"/>
  <c r="G8" i="7"/>
  <c r="E14" i="7" s="1"/>
  <c r="F8" i="7"/>
  <c r="E13" i="7" s="1"/>
  <c r="E8" i="7"/>
  <c r="E12" i="7" s="1"/>
  <c r="D8" i="7"/>
  <c r="E11" i="7" s="1"/>
  <c r="C8" i="7"/>
  <c r="H8" i="5"/>
  <c r="G8" i="5"/>
  <c r="D8" i="5"/>
  <c r="F8" i="5"/>
  <c r="E8" i="5"/>
  <c r="C8" i="5"/>
  <c r="C16" i="22" l="1"/>
  <c r="C16" i="21"/>
  <c r="C16" i="20"/>
  <c r="C16" i="18"/>
  <c r="C16" i="17"/>
  <c r="C16" i="16"/>
  <c r="C16" i="15"/>
  <c r="C16" i="14"/>
  <c r="C16" i="13"/>
  <c r="C16" i="12"/>
  <c r="C16" i="11"/>
  <c r="C16" i="10"/>
  <c r="C16" i="9"/>
  <c r="C16" i="8"/>
  <c r="C16" i="7"/>
  <c r="G9" i="6"/>
  <c r="G8" i="6"/>
  <c r="G7" i="6"/>
  <c r="G6" i="6"/>
  <c r="G5" i="6"/>
  <c r="G4" i="6"/>
  <c r="G3" i="6"/>
  <c r="G2" i="6"/>
  <c r="H9" i="6"/>
  <c r="H8" i="6"/>
  <c r="H7" i="6"/>
  <c r="H6" i="6"/>
  <c r="H5" i="6"/>
  <c r="H4" i="6"/>
  <c r="H3" i="6"/>
  <c r="H2" i="6"/>
  <c r="I9" i="6"/>
  <c r="I8" i="6"/>
  <c r="I7" i="6"/>
  <c r="I6" i="6"/>
  <c r="I5" i="6"/>
  <c r="I4" i="6"/>
  <c r="I3" i="6"/>
  <c r="I2" i="6"/>
  <c r="J9" i="6"/>
  <c r="J8" i="6"/>
  <c r="J7" i="6"/>
  <c r="J6" i="6"/>
  <c r="J5" i="6"/>
  <c r="J4" i="6"/>
  <c r="J3" i="6"/>
  <c r="J2" i="6"/>
  <c r="L2" i="6" l="1"/>
  <c r="K2" i="6"/>
  <c r="L3" i="6"/>
  <c r="K3" i="6"/>
  <c r="L4" i="6"/>
  <c r="K4" i="6"/>
  <c r="L5" i="6"/>
  <c r="K5" i="6"/>
  <c r="L6" i="6"/>
  <c r="K6" i="6"/>
  <c r="L7" i="6"/>
  <c r="K7" i="6"/>
  <c r="L8" i="6"/>
  <c r="K8" i="6"/>
  <c r="L9" i="6"/>
  <c r="K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8B185-6455-4315-9094-4D201604BDD9}" keepAlive="1" name="Lekérdezés - alapanyagok" description="A munkafüzetben levő „alapanyagok” lekérdezés kapcsolata" type="5" refreshedVersion="6" background="1" saveData="1">
    <dbPr connection="Provider=Microsoft.Mashup.OleDb.1;Data Source=$Workbook$;Location=alapanyagok;Extended Properties=&quot;&quot;" command="SELECT * FROM [alapanyagok]"/>
  </connection>
  <connection id="2" xr16:uid="{A6F96E32-EEBA-4DBB-A509-DE5BAF8C7D7D}" keepAlive="1" name="Lekérdezés - diétakategória" description="A munkafüzetben levő „diétakategória” lekérdezés kapcsolata" type="5" refreshedVersion="6" background="1" saveData="1">
    <dbPr connection="Provider=Microsoft.Mashup.OleDb.1;Data Source=$Workbook$;Location=diétakategória;Extended Properties=&quot;&quot;" command="SELECT * FROM [diétakategória]"/>
  </connection>
  <connection id="3" xr16:uid="{8E120E47-3DCE-49A5-9A71-11779847EA88}" keepAlive="1" name="Lekérdezés - ételek" description="A munkafüzetben levő „ételek” lekérdezés kapcsolata" type="5" refreshedVersion="6" background="1" saveData="1">
    <dbPr connection="Provider=Microsoft.Mashup.OleDb.1;Data Source=$Workbook$;Location=ételek;Extended Properties=&quot;&quot;" command="SELECT * FROM [ételek]"/>
  </connection>
  <connection id="4" xr16:uid="{DCB8453A-9BDD-418A-BEA0-7D573D5FD209}" keepAlive="1" name="Lekérdezés - hetimenük" description="A munkafüzetben levő „hetimenük” lekérdezés kapcsolata" type="5" refreshedVersion="6" background="1" saveData="1">
    <dbPr connection="Provider=Microsoft.Mashup.OleDb.1;Data Source=$Workbook$;Location=hetimenük;Extended Properties=&quot;&quot;" command="SELECT * FROM [hetimenük]"/>
  </connection>
  <connection id="5" xr16:uid="{730657AC-EAFA-4565-BBDD-3C804F5C2564}" keepAlive="1" name="Lekérdezés - hozzávalók" description="A munkafüzetben levő „hozzávalók” lekérdezés kapcsolata" type="5" refreshedVersion="6" background="1" saveData="1">
    <dbPr connection="Provider=Microsoft.Mashup.OleDb.1;Data Source=$Workbook$;Location=hozzávalók;Extended Properties=&quot;&quot;" command="SELECT * FROM [hozzávalók]"/>
  </connection>
  <connection id="6" xr16:uid="{1B84C264-0C86-494F-8E69-F4EF1D5408A7}" keepAlive="1" name="Lekérdezés - kategóriák" description="A munkafüzetben levő „kategóriák” lekérdezés kapcsolata" type="5" refreshedVersion="6" background="1" saveData="1">
    <dbPr connection="Provider=Microsoft.Mashup.OleDb.1;Data Source=$Workbook$;Location=kategóriák;Extended Properties=&quot;&quot;" command="SELECT * FROM [kategóriák]"/>
  </connection>
</connections>
</file>

<file path=xl/sharedStrings.xml><?xml version="1.0" encoding="utf-8"?>
<sst xmlns="http://schemas.openxmlformats.org/spreadsheetml/2006/main" count="994" uniqueCount="245">
  <si>
    <t>Név</t>
  </si>
  <si>
    <t>Költség</t>
  </si>
  <si>
    <t>Energia (kcal)</t>
  </si>
  <si>
    <t>Szénhidrát (g)</t>
  </si>
  <si>
    <t>Zsír (g)</t>
  </si>
  <si>
    <t>Fehérje (g)</t>
  </si>
  <si>
    <t>Hozzávalók_db</t>
  </si>
  <si>
    <t>Hozzávalók_nevek</t>
  </si>
  <si>
    <t>Bolognai spagetti</t>
  </si>
  <si>
    <t>Darált marhahús, Spagetti tészta, Paradicsomszósz, Vöröshagyma</t>
  </si>
  <si>
    <t>Grillezett csirkemell rizzsel</t>
  </si>
  <si>
    <t>Csirkemell, Jázmin rizs, Olívaolaj, Brokkoli</t>
  </si>
  <si>
    <t>Paradicsomos húsgombóc</t>
  </si>
  <si>
    <t>Darált sertéshús, Főtt burgonya, Paradicsomlé, Tojás</t>
  </si>
  <si>
    <t>Lencsefőzelék virslivel</t>
  </si>
  <si>
    <t>Lencse, Bécsi virsli, Tejföl, Babérlevél</t>
  </si>
  <si>
    <t>Marhapörkölt galuskával</t>
  </si>
  <si>
    <t>Marhalábszár, Finomliszt, Tojás, Pirospaprika</t>
  </si>
  <si>
    <t>Cézár saláta csirkével</t>
  </si>
  <si>
    <t>Római saláta, Csirkemell, Parmezán, Kruton</t>
  </si>
  <si>
    <t>Tojásos nokedli</t>
  </si>
  <si>
    <t>Finomliszt, Tojás, Étollaj, Fejes saláta</t>
  </si>
  <si>
    <t>Rakott krumpli</t>
  </si>
  <si>
    <t>Burgonya, Tojás, Kolbász, Tejföl</t>
  </si>
  <si>
    <t>Zöldségleves galuskával</t>
  </si>
  <si>
    <t>Sárgarépa, Fehérrépa, Zeller, Búzadara</t>
  </si>
  <si>
    <t>Gulyásleves</t>
  </si>
  <si>
    <t>Marhahús, Burgonya, Vöröshagyma, Csipetke</t>
  </si>
  <si>
    <t>Túrós csusza tepertővel</t>
  </si>
  <si>
    <t>Csusza tészta, Túró, Tejföl, Szalonna</t>
  </si>
  <si>
    <t>Rántott sajt sült krumplival</t>
  </si>
  <si>
    <t>Trappista sajt, Burgonya, Zsemlemorzsa, Tartármártás</t>
  </si>
  <si>
    <t>Paprikás krumpli</t>
  </si>
  <si>
    <t>Burgonya, Lecsókolbász, Vöröshagyma, Fűszerpaprika</t>
  </si>
  <si>
    <t>Carbonara tészta</t>
  </si>
  <si>
    <t>Spagetti, Pancetta/Szalonna, Tojássárgája, Pecorino sajt</t>
  </si>
  <si>
    <t>Chili con Carne</t>
  </si>
  <si>
    <t>Darált marhahús, Vörösbab, Kukorica, Chili paprika</t>
  </si>
  <si>
    <t>Brassói aprópecsenye</t>
  </si>
  <si>
    <t>Sertésszűz, Burgonya, Fokhagyma, Csemegeuborka</t>
  </si>
  <si>
    <t>Görög saláta</t>
  </si>
  <si>
    <t>Paradicsom, Kígyóuborka, Feta sajt, Olívabogyó</t>
  </si>
  <si>
    <t>Sült hekk kovászos uborkával</t>
  </si>
  <si>
    <t>Hekkfilé, Finomliszt, Kovászos uborka, Napraforgóolaj</t>
  </si>
  <si>
    <t>Rakott karfiol</t>
  </si>
  <si>
    <t>Karfiol, Darált sertéshús, Rizs, Tejföl</t>
  </si>
  <si>
    <t>Zöldborsófőzelék</t>
  </si>
  <si>
    <t>Zöldborsó, Tej, Liszt, Cukor</t>
  </si>
  <si>
    <t>Tonhalas tészta</t>
  </si>
  <si>
    <t>Penne tészta, Tonhal konzerv, Olívabogyó, Kapribogyó</t>
  </si>
  <si>
    <t>Húsleves cérnametélttel</t>
  </si>
  <si>
    <t>Tyúkhús, Sárgarépa, Cérnametélt, Karalábé</t>
  </si>
  <si>
    <t>Székelykáposzta</t>
  </si>
  <si>
    <t>Savanyú káposzta, Sertéscomb, Tejföl, Szalonna</t>
  </si>
  <si>
    <t>Milánói sertésborda</t>
  </si>
  <si>
    <t>Sertéskaraj, Spagetti, Gomba, Paradicsomszósz</t>
  </si>
  <si>
    <t>Töltött paprika</t>
  </si>
  <si>
    <t>TV paprika, Darált hús, Rizs, Paradicsomlé</t>
  </si>
  <si>
    <t>Grillezett lazac spárgával</t>
  </si>
  <si>
    <t>Lazacfilé, Spárga, Vaj, Citrom</t>
  </si>
  <si>
    <t>Lecsó tojással</t>
  </si>
  <si>
    <t>TV paprika, Paradicsom, Tojás, Vöröshagyma</t>
  </si>
  <si>
    <t>Rizses hús (Bácskai)</t>
  </si>
  <si>
    <t>Sertéslapocka, Rizs, Paprika, Paradicsom</t>
  </si>
  <si>
    <t>Máglyarakás</t>
  </si>
  <si>
    <t>Kifli, Alma, Tojásfehérje, Baracklekvár</t>
  </si>
  <si>
    <t>Gombapörkölt galuskával</t>
  </si>
  <si>
    <t>Csiperkegomba, Vöröshagyma, Liszt, Tejföl</t>
  </si>
  <si>
    <t>Kategória név</t>
  </si>
  <si>
    <t>Leírás / Célkitűzés</t>
  </si>
  <si>
    <t>Heti max. Energia (kcal)</t>
  </si>
  <si>
    <t>Heti max. Szénhidrát (g)</t>
  </si>
  <si>
    <t>Heti max. Zsír (g)</t>
  </si>
  <si>
    <t>Heti max. Fehérje (g)</t>
  </si>
  <si>
    <t>"Szálkásító" Pro</t>
  </si>
  <si>
    <t>Szigorú diéta versenyzőknek vagy intenzív fogyáshoz.</t>
  </si>
  <si>
    <t>Tömegnövelő "Hardgainers"</t>
  </si>
  <si>
    <t>Gyors anyagcseréjűeknek, izomépítéshez magas kerettel.</t>
  </si>
  <si>
    <t>Ketogén Alap</t>
  </si>
  <si>
    <t>Minimális szénhidrát és cukor, magas zsírplafon mellett.</t>
  </si>
  <si>
    <t>Irodai Wellness</t>
  </si>
  <si>
    <t>Ülőmunkát végzőknek, mérsékelt kalóriaigénnyel.</t>
  </si>
  <si>
    <t>Low-Carb (Szénhidrátszegény)</t>
  </si>
  <si>
    <t>Cukorkorlátozás az inzulinrezisztencia megelőzésére.</t>
  </si>
  <si>
    <t>Szívbarát (Low-Fat)</t>
  </si>
  <si>
    <t>Zsírszegény étrend a koleszterinszint kordában tartására.</t>
  </si>
  <si>
    <t>Hosszú élet (Longevity)</t>
  </si>
  <si>
    <t>Mérsékelt fehérje- és kalóriabevitel (autofágia támogatása).</t>
  </si>
  <si>
    <t>Hobbi Sportoló</t>
  </si>
  <si>
    <t>Kiegyensúlyozott, fenntartható vegyes étrend.</t>
  </si>
  <si>
    <t>Top 15 – Költség (Ft)</t>
  </si>
  <si>
    <t>Top 15 – Energia (kcal) (kcal)</t>
  </si>
  <si>
    <t>Top 15 – Szénhidrát (g) (g)</t>
  </si>
  <si>
    <t>Top 15 – Zsír (g) (g)</t>
  </si>
  <si>
    <t>Top 15 – Fehérje (g) (g)</t>
  </si>
  <si>
    <t>Top 15 – Hozzávalók_db (db)</t>
  </si>
  <si>
    <t>Étel</t>
  </si>
  <si>
    <t>Nap</t>
  </si>
  <si>
    <t>Energia</t>
  </si>
  <si>
    <t>Szénhidrát</t>
  </si>
  <si>
    <t>Zsír</t>
  </si>
  <si>
    <t>Fehérje</t>
  </si>
  <si>
    <t>Hozzávalók</t>
  </si>
  <si>
    <t>Hétfő</t>
  </si>
  <si>
    <t>Kedd</t>
  </si>
  <si>
    <t>Szerda</t>
  </si>
  <si>
    <t>Csütörtök</t>
  </si>
  <si>
    <t>Péntek</t>
  </si>
  <si>
    <t>Összesen:</t>
  </si>
  <si>
    <t>Kategória megfelelés a 'Menu' lapon megadott menüre</t>
  </si>
  <si>
    <t>Költség (Ft)</t>
  </si>
  <si>
    <t>Hozzávalók (db)</t>
  </si>
  <si>
    <t>Korlátok (heti max) és ellenőrzés:</t>
  </si>
  <si>
    <t>Menü</t>
  </si>
  <si>
    <t>Megfelel?</t>
  </si>
  <si>
    <t>Típus</t>
  </si>
  <si>
    <t>Kinek?</t>
  </si>
  <si>
    <t>Kcal</t>
  </si>
  <si>
    <t>kód</t>
  </si>
  <si>
    <t>hozzávaló</t>
  </si>
  <si>
    <t>Darált marhahús</t>
  </si>
  <si>
    <t>Spagetti tészta</t>
  </si>
  <si>
    <t>Paradicsomszósz</t>
  </si>
  <si>
    <t>Vöröshagyma</t>
  </si>
  <si>
    <t>Csirkemell</t>
  </si>
  <si>
    <t>Jázmin rizs</t>
  </si>
  <si>
    <t>Olívaolaj</t>
  </si>
  <si>
    <t>Brokkoli</t>
  </si>
  <si>
    <t>Darált sertéshús</t>
  </si>
  <si>
    <t>Főtt burgonya</t>
  </si>
  <si>
    <t>Paradicsomlé</t>
  </si>
  <si>
    <t>Tojás</t>
  </si>
  <si>
    <t>Lencse</t>
  </si>
  <si>
    <t>Bécsi virsli</t>
  </si>
  <si>
    <t>Tejföl</t>
  </si>
  <si>
    <t>Babérlevél</t>
  </si>
  <si>
    <t>Marhalábszár</t>
  </si>
  <si>
    <t>Finomliszt</t>
  </si>
  <si>
    <t>Pirospaprika</t>
  </si>
  <si>
    <t>Római saláta</t>
  </si>
  <si>
    <t>Parmezán</t>
  </si>
  <si>
    <t>Kruton</t>
  </si>
  <si>
    <t>Étollaj</t>
  </si>
  <si>
    <t>Fejes saláta</t>
  </si>
  <si>
    <t>Burgonya</t>
  </si>
  <si>
    <t>Kolbász</t>
  </si>
  <si>
    <t>Sárgarépa</t>
  </si>
  <si>
    <t>Fehérrépa</t>
  </si>
  <si>
    <t>Zeller</t>
  </si>
  <si>
    <t>Búzadara</t>
  </si>
  <si>
    <t>Marhahús</t>
  </si>
  <si>
    <t>Csipetke</t>
  </si>
  <si>
    <t>Csusza tészta</t>
  </si>
  <si>
    <t>Túró</t>
  </si>
  <si>
    <t>Szalonna</t>
  </si>
  <si>
    <t>Trappista sajt</t>
  </si>
  <si>
    <t>Zsemlemorzsa</t>
  </si>
  <si>
    <t>Tartármártás</t>
  </si>
  <si>
    <t>Lecsókolbász</t>
  </si>
  <si>
    <t>Fűszerpaprika</t>
  </si>
  <si>
    <t>Spagetti</t>
  </si>
  <si>
    <t>Pancetta/Szalonna</t>
  </si>
  <si>
    <t>Tojássárgája</t>
  </si>
  <si>
    <t>Pecorino sajt</t>
  </si>
  <si>
    <t>Vörösbab</t>
  </si>
  <si>
    <t>Kukorica</t>
  </si>
  <si>
    <t>Chili paprika</t>
  </si>
  <si>
    <t>Sertésszűz</t>
  </si>
  <si>
    <t>Fokhagyma</t>
  </si>
  <si>
    <t>Csemegeuborka</t>
  </si>
  <si>
    <t>Paradicsom</t>
  </si>
  <si>
    <t>Kígyóuborka</t>
  </si>
  <si>
    <t>Feta sajt</t>
  </si>
  <si>
    <t>Olívabogyó</t>
  </si>
  <si>
    <t>Hekkfilé</t>
  </si>
  <si>
    <t>Kovászos uborka</t>
  </si>
  <si>
    <t>Napraforgóolaj</t>
  </si>
  <si>
    <t>Karfiol</t>
  </si>
  <si>
    <t>Rizs</t>
  </si>
  <si>
    <t>Zöldborsó</t>
  </si>
  <si>
    <t>Tej</t>
  </si>
  <si>
    <t>Liszt</t>
  </si>
  <si>
    <t>Cukor</t>
  </si>
  <si>
    <t>Penne tészta</t>
  </si>
  <si>
    <t>Tonhal konzerv</t>
  </si>
  <si>
    <t>Kapribogyó</t>
  </si>
  <si>
    <t>Tyúkhús</t>
  </si>
  <si>
    <t>Cérnametélt</t>
  </si>
  <si>
    <t>Karalábé</t>
  </si>
  <si>
    <t>Savanyú káposzta</t>
  </si>
  <si>
    <t>Sertéscomb</t>
  </si>
  <si>
    <t>Sertéskaraj</t>
  </si>
  <si>
    <t>Gomba</t>
  </si>
  <si>
    <t>TV paprika</t>
  </si>
  <si>
    <t>Darált hús</t>
  </si>
  <si>
    <t>Lazacfilé</t>
  </si>
  <si>
    <t>Spárga</t>
  </si>
  <si>
    <t>Vaj</t>
  </si>
  <si>
    <t>Citrom</t>
  </si>
  <si>
    <t>Sertéslapocka</t>
  </si>
  <si>
    <t>Paprika</t>
  </si>
  <si>
    <t>Kifli</t>
  </si>
  <si>
    <t>Alma</t>
  </si>
  <si>
    <t>Tojásfehérje</t>
  </si>
  <si>
    <t>Baracklekvár</t>
  </si>
  <si>
    <t>Csiperkegomba</t>
  </si>
  <si>
    <t>Kat név</t>
  </si>
  <si>
    <t>Célkitűzés</t>
  </si>
  <si>
    <t>Heti max (kcal)</t>
  </si>
  <si>
    <t>Heti max (Cukor)</t>
  </si>
  <si>
    <t>Heti max(Zsír)</t>
  </si>
  <si>
    <t>Heti max (Fehérje)</t>
  </si>
  <si>
    <t xml:space="preserve"> Tömegnövelő "Hardgainers"</t>
  </si>
  <si>
    <t xml:space="preserve"> Ketogén Alap</t>
  </si>
  <si>
    <t xml:space="preserve"> Irodai Wellness</t>
  </si>
  <si>
    <t xml:space="preserve"> Low-Carb (Szénhidrátszegény)</t>
  </si>
  <si>
    <t xml:space="preserve"> Szívbarát (Low-Fat)</t>
  </si>
  <si>
    <t xml:space="preserve"> Hosszú élet (Longevity)</t>
  </si>
  <si>
    <t xml:space="preserve"> Hobbi Sportoló</t>
  </si>
  <si>
    <t>ételkód</t>
  </si>
  <si>
    <t>menü név</t>
  </si>
  <si>
    <t>Szálkásító Pro</t>
  </si>
  <si>
    <t>Tömegnövelő Hardgainers</t>
  </si>
  <si>
    <t>Low-Carb</t>
  </si>
  <si>
    <t>Szívbarát Low-Fat</t>
  </si>
  <si>
    <t>Longevity</t>
  </si>
  <si>
    <t>ékód</t>
  </si>
  <si>
    <t>hkód</t>
  </si>
  <si>
    <t>kkód</t>
  </si>
  <si>
    <t>kategória kód</t>
  </si>
  <si>
    <t>kategória</t>
  </si>
  <si>
    <t>Hús</t>
  </si>
  <si>
    <t>Gabona</t>
  </si>
  <si>
    <t>Zöldség</t>
  </si>
  <si>
    <t>Zsiradék</t>
  </si>
  <si>
    <t>Állati termék</t>
  </si>
  <si>
    <t>Hüvelyes</t>
  </si>
  <si>
    <t>Húskészítmény</t>
  </si>
  <si>
    <t>Tejtermék</t>
  </si>
  <si>
    <t>Fűszer</t>
  </si>
  <si>
    <t>Pékáru</t>
  </si>
  <si>
    <t>Szósz</t>
  </si>
  <si>
    <t>Gyümölcs</t>
  </si>
  <si>
    <t>Hal</t>
  </si>
  <si>
    <t>Édesítő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</si>
</sst>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Ft&quot;"/>
    <numFmt numFmtId="165" formatCode="#,##0\ &quot;kcal&quot;"/>
    <numFmt numFmtId="166" formatCode="#,##0\ &quot;g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" fontId="0" fillId="0" borderId="1" xfId="0" applyNumberForma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hu-HU"/>
              <a:t>Költség – Top 15 (Ft)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Statisztika!$B$2</c:f>
              <c:strCache>
                <c:ptCount val="1"/>
                <c:pt idx="0">
                  <c:v>Költség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Statisztika!$A$3:$A$17</c:f>
              <c:strCache>
                <c:ptCount val="15"/>
                <c:pt idx="0">
                  <c:v>Grillezett lazac spárgával</c:v>
                </c:pt>
                <c:pt idx="1">
                  <c:v>Cézár saláta csirkével</c:v>
                </c:pt>
                <c:pt idx="2">
                  <c:v>Marhapörkölt galuskával</c:v>
                </c:pt>
                <c:pt idx="3">
                  <c:v>Milánói sertésborda</c:v>
                </c:pt>
                <c:pt idx="4">
                  <c:v>Carbonara tészta</c:v>
                </c:pt>
                <c:pt idx="5">
                  <c:v>Chili con Carne</c:v>
                </c:pt>
                <c:pt idx="6">
                  <c:v>Brassói aprópecsenye</c:v>
                </c:pt>
                <c:pt idx="7">
                  <c:v>Grillezett csirkemell rizzsel</c:v>
                </c:pt>
                <c:pt idx="8">
                  <c:v>Tonhalas tészta</c:v>
                </c:pt>
                <c:pt idx="9">
                  <c:v>Sült hekk kovászos uborkával</c:v>
                </c:pt>
                <c:pt idx="10">
                  <c:v>Rántott sajt sült krumplival</c:v>
                </c:pt>
                <c:pt idx="11">
                  <c:v>Székelykáposzta</c:v>
                </c:pt>
                <c:pt idx="12">
                  <c:v>Rakott karfiol</c:v>
                </c:pt>
                <c:pt idx="13">
                  <c:v>Görög saláta</c:v>
                </c:pt>
                <c:pt idx="14">
                  <c:v>Töltött paprika</c:v>
                </c:pt>
              </c:strCache>
            </c:strRef>
          </c:cat>
          <c:val>
            <c:numRef>
              <c:f>Statisztika!$B$3:$B$17</c:f>
              <c:numCache>
                <c:formatCode>#\ ##0\ "Ft"</c:formatCode>
                <c:ptCount val="15"/>
                <c:pt idx="0">
                  <c:v>1800</c:v>
                </c:pt>
                <c:pt idx="1">
                  <c:v>1700</c:v>
                </c:pt>
                <c:pt idx="2">
                  <c:v>1500</c:v>
                </c:pt>
                <c:pt idx="3">
                  <c:v>1300</c:v>
                </c:pt>
                <c:pt idx="4">
                  <c:v>1300</c:v>
                </c:pt>
                <c:pt idx="5">
                  <c:v>1200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1050</c:v>
                </c:pt>
                <c:pt idx="10">
                  <c:v>1050</c:v>
                </c:pt>
                <c:pt idx="11">
                  <c:v>950</c:v>
                </c:pt>
                <c:pt idx="12">
                  <c:v>900</c:v>
                </c:pt>
                <c:pt idx="13">
                  <c:v>900</c:v>
                </c:pt>
                <c:pt idx="1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0-441A-8D73-4FCF9F0E5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Étel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Költség (Ft)</a:t>
                </a:r>
              </a:p>
            </c:rich>
          </c:tx>
          <c:overlay val="1"/>
        </c:title>
        <c:numFmt formatCode="#\ ##0\ &quot;Ft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hu-HU"/>
              <a:t>Energia (kcal) – Top 15 (kcal)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Statisztika!$F$2</c:f>
              <c:strCache>
                <c:ptCount val="1"/>
                <c:pt idx="0">
                  <c:v>Energia (kcal)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Statisztika!$E$3:$E$17</c:f>
              <c:strCache>
                <c:ptCount val="15"/>
                <c:pt idx="0">
                  <c:v>Rántott sajt sült krumplival</c:v>
                </c:pt>
                <c:pt idx="1">
                  <c:v>Milánói sertésborda</c:v>
                </c:pt>
                <c:pt idx="2">
                  <c:v>Marhapörkölt galuskával</c:v>
                </c:pt>
                <c:pt idx="3">
                  <c:v>Brassói aprópecsenye</c:v>
                </c:pt>
                <c:pt idx="4">
                  <c:v>Rakott krumpli</c:v>
                </c:pt>
                <c:pt idx="5">
                  <c:v>Carbonara tészta</c:v>
                </c:pt>
                <c:pt idx="6">
                  <c:v>Túrós csusza tepertővel</c:v>
                </c:pt>
                <c:pt idx="7">
                  <c:v>Máglyarakás</c:v>
                </c:pt>
                <c:pt idx="8">
                  <c:v>Bolognai spagetti</c:v>
                </c:pt>
                <c:pt idx="9">
                  <c:v>Tojásos nokedli</c:v>
                </c:pt>
                <c:pt idx="10">
                  <c:v>Székelykáposzta</c:v>
                </c:pt>
                <c:pt idx="11">
                  <c:v>Tonhalas tészta</c:v>
                </c:pt>
                <c:pt idx="12">
                  <c:v>Paradicsomos húsgombóc</c:v>
                </c:pt>
                <c:pt idx="13">
                  <c:v>Rizses hús (Bácskai)</c:v>
                </c:pt>
                <c:pt idx="14">
                  <c:v>Chili con Carne</c:v>
                </c:pt>
              </c:strCache>
            </c:strRef>
          </c:cat>
          <c:val>
            <c:numRef>
              <c:f>Statisztika!$F$3:$F$17</c:f>
              <c:numCache>
                <c:formatCode>#\ ##0\ "kcal"</c:formatCode>
                <c:ptCount val="15"/>
                <c:pt idx="0">
                  <c:v>850</c:v>
                </c:pt>
                <c:pt idx="1">
                  <c:v>820</c:v>
                </c:pt>
                <c:pt idx="2">
                  <c:v>720</c:v>
                </c:pt>
                <c:pt idx="3">
                  <c:v>710</c:v>
                </c:pt>
                <c:pt idx="4">
                  <c:v>680</c:v>
                </c:pt>
                <c:pt idx="5">
                  <c:v>640</c:v>
                </c:pt>
                <c:pt idx="6">
                  <c:v>620</c:v>
                </c:pt>
                <c:pt idx="7">
                  <c:v>590</c:v>
                </c:pt>
                <c:pt idx="8">
                  <c:v>580</c:v>
                </c:pt>
                <c:pt idx="9">
                  <c:v>550</c:v>
                </c:pt>
                <c:pt idx="10">
                  <c:v>540</c:v>
                </c:pt>
                <c:pt idx="11">
                  <c:v>530</c:v>
                </c:pt>
                <c:pt idx="12">
                  <c:v>520</c:v>
                </c:pt>
                <c:pt idx="13">
                  <c:v>520</c:v>
                </c:pt>
                <c:pt idx="14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9-4BAB-927F-5680DFF21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Étel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Energia (kcal) (kcal)</a:t>
                </a:r>
              </a:p>
            </c:rich>
          </c:tx>
          <c:overlay val="1"/>
        </c:title>
        <c:numFmt formatCode="#\ ##0\ &quot;kcal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hu-HU"/>
              <a:t>Szénhidrát (g) – Top 15 (g)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Statisztika!$J$2</c:f>
              <c:strCache>
                <c:ptCount val="1"/>
                <c:pt idx="0">
                  <c:v>Szénhidrát (g)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Statisztika!$I$3:$I$17</c:f>
              <c:strCache>
                <c:ptCount val="15"/>
                <c:pt idx="0">
                  <c:v>Máglyarakás</c:v>
                </c:pt>
                <c:pt idx="1">
                  <c:v>Milánói sertésborda</c:v>
                </c:pt>
                <c:pt idx="2">
                  <c:v>Rántott sajt sült krumplival</c:v>
                </c:pt>
                <c:pt idx="3">
                  <c:v>Tojásos nokedli</c:v>
                </c:pt>
                <c:pt idx="4">
                  <c:v>Gombapörkölt galuskával</c:v>
                </c:pt>
                <c:pt idx="5">
                  <c:v>Tonhalas tészta</c:v>
                </c:pt>
                <c:pt idx="6">
                  <c:v>Bolognai spagetti</c:v>
                </c:pt>
                <c:pt idx="7">
                  <c:v>Carbonara tészta</c:v>
                </c:pt>
                <c:pt idx="8">
                  <c:v>Marhapörkölt galuskával</c:v>
                </c:pt>
                <c:pt idx="9">
                  <c:v>Túrós csusza tepertővel</c:v>
                </c:pt>
                <c:pt idx="10">
                  <c:v>Rizses hús (Bácskai)</c:v>
                </c:pt>
                <c:pt idx="11">
                  <c:v>Brassói aprópecsenye</c:v>
                </c:pt>
                <c:pt idx="12">
                  <c:v>Paradicsomos húsgombóc</c:v>
                </c:pt>
                <c:pt idx="13">
                  <c:v>Paprikás krumpli</c:v>
                </c:pt>
                <c:pt idx="14">
                  <c:v>Grillezett csirkemell rizzsel</c:v>
                </c:pt>
              </c:strCache>
            </c:strRef>
          </c:cat>
          <c:val>
            <c:numRef>
              <c:f>Statisztika!$J$3:$J$17</c:f>
              <c:numCache>
                <c:formatCode>#\ ##0\ "g"</c:formatCode>
                <c:ptCount val="15"/>
                <c:pt idx="0">
                  <c:v>85</c:v>
                </c:pt>
                <c:pt idx="1">
                  <c:v>78</c:v>
                </c:pt>
                <c:pt idx="2">
                  <c:v>75</c:v>
                </c:pt>
                <c:pt idx="3">
                  <c:v>72</c:v>
                </c:pt>
                <c:pt idx="4">
                  <c:v>68</c:v>
                </c:pt>
                <c:pt idx="5">
                  <c:v>68</c:v>
                </c:pt>
                <c:pt idx="6">
                  <c:v>65</c:v>
                </c:pt>
                <c:pt idx="7">
                  <c:v>62</c:v>
                </c:pt>
                <c:pt idx="8">
                  <c:v>60</c:v>
                </c:pt>
                <c:pt idx="9">
                  <c:v>58</c:v>
                </c:pt>
                <c:pt idx="10">
                  <c:v>55</c:v>
                </c:pt>
                <c:pt idx="11">
                  <c:v>48</c:v>
                </c:pt>
                <c:pt idx="12">
                  <c:v>48</c:v>
                </c:pt>
                <c:pt idx="13">
                  <c:v>45</c:v>
                </c:pt>
                <c:pt idx="1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F-4A7C-BC67-46545C49C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Étel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Szénhidrát (g) (g)</a:t>
                </a:r>
              </a:p>
            </c:rich>
          </c:tx>
          <c:overlay val="1"/>
        </c:title>
        <c:numFmt formatCode="#\ ##0\ &quot;g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hu-HU"/>
              <a:t>Zsír (g) – Top 15 (g)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Statisztika!$N$2</c:f>
              <c:strCache>
                <c:ptCount val="1"/>
                <c:pt idx="0">
                  <c:v>Zsír (g)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Statisztika!$M$3:$M$17</c:f>
              <c:strCache>
                <c:ptCount val="15"/>
                <c:pt idx="0">
                  <c:v>Rántott sajt sült krumplival</c:v>
                </c:pt>
                <c:pt idx="1">
                  <c:v>Rakott krumpli</c:v>
                </c:pt>
                <c:pt idx="2">
                  <c:v>Brassói aprópecsenye</c:v>
                </c:pt>
                <c:pt idx="3">
                  <c:v>Milánói sertésborda</c:v>
                </c:pt>
                <c:pt idx="4">
                  <c:v>Székelykáposzta</c:v>
                </c:pt>
                <c:pt idx="5">
                  <c:v>Marhapörkölt galuskával</c:v>
                </c:pt>
                <c:pt idx="6">
                  <c:v>Carbonara tészta</c:v>
                </c:pt>
                <c:pt idx="7">
                  <c:v>Túrós csusza tepertővel</c:v>
                </c:pt>
                <c:pt idx="8">
                  <c:v>Rakott karfiol</c:v>
                </c:pt>
                <c:pt idx="9">
                  <c:v>Grillezett lazac spárgával</c:v>
                </c:pt>
                <c:pt idx="10">
                  <c:v>Gulyásleves</c:v>
                </c:pt>
                <c:pt idx="11">
                  <c:v>Sült hekk kovászos uborkával</c:v>
                </c:pt>
                <c:pt idx="12">
                  <c:v>Paradicsomos húsgombóc</c:v>
                </c:pt>
                <c:pt idx="13">
                  <c:v>Görög saláta</c:v>
                </c:pt>
                <c:pt idx="14">
                  <c:v>Lecsó tojással</c:v>
                </c:pt>
              </c:strCache>
            </c:strRef>
          </c:cat>
          <c:val>
            <c:numRef>
              <c:f>Statisztika!$N$3:$N$17</c:f>
              <c:numCache>
                <c:formatCode>#\ ##0\ "g"</c:formatCode>
                <c:ptCount val="15"/>
                <c:pt idx="0">
                  <c:v>48</c:v>
                </c:pt>
                <c:pt idx="1">
                  <c:v>45</c:v>
                </c:pt>
                <c:pt idx="2">
                  <c:v>42</c:v>
                </c:pt>
                <c:pt idx="3">
                  <c:v>38</c:v>
                </c:pt>
                <c:pt idx="4">
                  <c:v>38</c:v>
                </c:pt>
                <c:pt idx="5">
                  <c:v>35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28</c:v>
                </c:pt>
                <c:pt idx="10">
                  <c:v>25</c:v>
                </c:pt>
                <c:pt idx="11">
                  <c:v>25</c:v>
                </c:pt>
                <c:pt idx="12">
                  <c:v>24</c:v>
                </c:pt>
                <c:pt idx="13">
                  <c:v>22</c:v>
                </c:pt>
                <c:pt idx="1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8-4EBA-9A3B-703388B90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Étel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Zsír (g) (g)</a:t>
                </a:r>
              </a:p>
            </c:rich>
          </c:tx>
          <c:overlay val="1"/>
        </c:title>
        <c:numFmt formatCode="#\ ##0\ &quot;g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hu-HU"/>
              <a:t>Fehérje (g) – Top 15 (g)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Statisztika!$R$2</c:f>
              <c:strCache>
                <c:ptCount val="1"/>
                <c:pt idx="0">
                  <c:v>Fehérje (g)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Statisztika!$Q$3:$Q$17</c:f>
              <c:strCache>
                <c:ptCount val="15"/>
                <c:pt idx="0">
                  <c:v>Grillezett csirkemell rizzsel</c:v>
                </c:pt>
                <c:pt idx="1">
                  <c:v>Chili con Carne</c:v>
                </c:pt>
                <c:pt idx="2">
                  <c:v>Marhapörkölt galuskával</c:v>
                </c:pt>
                <c:pt idx="3">
                  <c:v>Milánói sertésborda</c:v>
                </c:pt>
                <c:pt idx="4">
                  <c:v>Sült hekk kovászos uborkával</c:v>
                </c:pt>
                <c:pt idx="5">
                  <c:v>Brassói aprópecsenye</c:v>
                </c:pt>
                <c:pt idx="6">
                  <c:v>Grillezett lazac spárgával</c:v>
                </c:pt>
                <c:pt idx="7">
                  <c:v>Cézár saláta csirkével</c:v>
                </c:pt>
                <c:pt idx="8">
                  <c:v>Rizses hús (Bácskai)</c:v>
                </c:pt>
                <c:pt idx="9">
                  <c:v>Székelykáposzta</c:v>
                </c:pt>
                <c:pt idx="10">
                  <c:v>Tonhalas tészta</c:v>
                </c:pt>
                <c:pt idx="11">
                  <c:v>Bolognai spagetti</c:v>
                </c:pt>
                <c:pt idx="12">
                  <c:v>Rántott sajt sült krumplival</c:v>
                </c:pt>
                <c:pt idx="13">
                  <c:v>Rakott krumpli</c:v>
                </c:pt>
                <c:pt idx="14">
                  <c:v>Rakott karfiol</c:v>
                </c:pt>
              </c:strCache>
            </c:strRef>
          </c:cat>
          <c:val>
            <c:numRef>
              <c:f>Statisztika!$R$3:$R$17</c:f>
              <c:numCache>
                <c:formatCode>#\ ##0\ "g"</c:formatCode>
                <c:ptCount val="15"/>
                <c:pt idx="0">
                  <c:v>42</c:v>
                </c:pt>
                <c:pt idx="1">
                  <c:v>38</c:v>
                </c:pt>
                <c:pt idx="2">
                  <c:v>38</c:v>
                </c:pt>
                <c:pt idx="3">
                  <c:v>36</c:v>
                </c:pt>
                <c:pt idx="4">
                  <c:v>34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C-4A5F-8497-18F30B305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Étel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Fehérje (g) (g)</a:t>
                </a:r>
              </a:p>
            </c:rich>
          </c:tx>
          <c:overlay val="1"/>
        </c:title>
        <c:numFmt formatCode="#\ ##0\ &quot;g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hu-HU"/>
              <a:t>Hozzávalók_db – Top 15 (db)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Statisztika!$V$3</c:f>
              <c:strCache>
                <c:ptCount val="1"/>
                <c:pt idx="0">
                  <c:v>Hozzávalók_db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Statisztika!$U$3:$U$17</c:f>
              <c:strCache>
                <c:ptCount val="15"/>
                <c:pt idx="0">
                  <c:v>Bolognai spagetti</c:v>
                </c:pt>
                <c:pt idx="1">
                  <c:v>Grillezett csirkemell rizzsel</c:v>
                </c:pt>
                <c:pt idx="2">
                  <c:v>Máglyarakás</c:v>
                </c:pt>
                <c:pt idx="3">
                  <c:v>Rizses hús (Bácskai)</c:v>
                </c:pt>
                <c:pt idx="4">
                  <c:v>Lecsó tojással</c:v>
                </c:pt>
                <c:pt idx="5">
                  <c:v>Grillezett lazac spárgával</c:v>
                </c:pt>
                <c:pt idx="6">
                  <c:v>Töltött paprika</c:v>
                </c:pt>
                <c:pt idx="7">
                  <c:v>Milánói sertésborda</c:v>
                </c:pt>
                <c:pt idx="8">
                  <c:v>Székelykáposzta</c:v>
                </c:pt>
                <c:pt idx="9">
                  <c:v>Húsleves cérnametélttel</c:v>
                </c:pt>
                <c:pt idx="10">
                  <c:v>Tonhalas tészta</c:v>
                </c:pt>
                <c:pt idx="11">
                  <c:v>Zöldborsófőzelék</c:v>
                </c:pt>
                <c:pt idx="12">
                  <c:v>Rakott karfiol</c:v>
                </c:pt>
                <c:pt idx="13">
                  <c:v>Sült hekk kovászos uborkával</c:v>
                </c:pt>
                <c:pt idx="14">
                  <c:v>Görög saláta</c:v>
                </c:pt>
              </c:strCache>
            </c:strRef>
          </c:cat>
          <c:val>
            <c:numRef>
              <c:f>Statisztika!$V$4:$V$18</c:f>
              <c:numCache>
                <c:formatCode>0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5-4FF7-AB3C-DE122D504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Étel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Hozzávalók_db (db)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20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20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20</xdr:row>
      <xdr:rowOff>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16</xdr:col>
      <xdr:colOff>0</xdr:colOff>
      <xdr:row>20</xdr:row>
      <xdr:rowOff>0</xdr:rowOff>
    </xdr:from>
    <xdr:ext cx="576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20</xdr:col>
      <xdr:colOff>0</xdr:colOff>
      <xdr:row>20</xdr:row>
      <xdr:rowOff>0</xdr:rowOff>
    </xdr:from>
    <xdr:ext cx="576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1" xr16:uid="{7CCD32D1-4A18-4E19-B1C6-0A11BA44A3F5}" autoFormatId="16" applyNumberFormats="0" applyBorderFormats="0" applyFontFormats="0" applyPatternFormats="0" applyAlignmentFormats="0" applyWidthHeightFormats="0">
  <queryTableRefresh nextId="3">
    <queryTableFields count="2">
      <queryTableField id="1" name="kód" tableColumnId="1"/>
      <queryTableField id="2" name="hozzávaló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2" connectionId="2" xr16:uid="{213982E3-8569-4C5B-931F-136E1804B1B4}" autoFormatId="16" applyNumberFormats="0" applyBorderFormats="0" applyFontFormats="0" applyPatternFormats="0" applyAlignmentFormats="0" applyWidthHeightFormats="0">
  <queryTableRefresh nextId="7">
    <queryTableFields count="6">
      <queryTableField id="1" name="Kat név" tableColumnId="1"/>
      <queryTableField id="2" name="Célkitűzés" tableColumnId="2"/>
      <queryTableField id="3" name="Heti max (kcal)" tableColumnId="3"/>
      <queryTableField id="4" name="Heti max (Cukor)" tableColumnId="4"/>
      <queryTableField id="5" name="Heti max(Zsír)" tableColumnId="5"/>
      <queryTableField id="6" name="Heti max (Fehérje)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3" connectionId="3" xr16:uid="{4F4C3B21-0A3A-4AC9-B016-FC2D3E54E5C9}" autoFormatId="16" applyNumberFormats="0" applyBorderFormats="0" applyFontFormats="0" applyPatternFormats="0" applyAlignmentFormats="0" applyWidthHeightFormats="0">
  <queryTableRefresh nextId="8">
    <queryTableFields count="7">
      <queryTableField id="1" name="ételkód" tableColumnId="1"/>
      <queryTableField id="2" name="Név" tableColumnId="2"/>
      <queryTableField id="3" name="Költség" tableColumnId="3"/>
      <queryTableField id="4" name="Energia" tableColumnId="4"/>
      <queryTableField id="5" name="Szénhidrát" tableColumnId="5"/>
      <queryTableField id="6" name="Zsír" tableColumnId="6"/>
      <queryTableField id="7" name="Fehérj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4" connectionId="4" xr16:uid="{0001B87E-FA56-4F57-9C68-C35AF7ACFB80}" autoFormatId="16" applyNumberFormats="0" applyBorderFormats="0" applyFontFormats="0" applyPatternFormats="0" applyAlignmentFormats="0" applyWidthHeightFormats="0">
  <queryTableRefresh nextId="4">
    <queryTableFields count="3">
      <queryTableField id="1" name="menü név" tableColumnId="1"/>
      <queryTableField id="2" name="Nap" tableColumnId="2"/>
      <queryTableField id="3" name="Étel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5" connectionId="5" xr16:uid="{32865DB6-9935-4AE1-B171-15F7A896D820}" autoFormatId="16" applyNumberFormats="0" applyBorderFormats="0" applyFontFormats="0" applyPatternFormats="0" applyAlignmentFormats="0" applyWidthHeightFormats="0">
  <queryTableRefresh nextId="4">
    <queryTableFields count="3">
      <queryTableField id="1" name="ékód" tableColumnId="1"/>
      <queryTableField id="2" name="hkód" tableColumnId="2"/>
      <queryTableField id="3" name="kkó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6" connectionId="6" xr16:uid="{CCDD5876-1C76-4DA7-8750-E6A5E72D0830}" autoFormatId="16" applyNumberFormats="0" applyBorderFormats="0" applyFontFormats="0" applyPatternFormats="0" applyAlignmentFormats="0" applyWidthHeightFormats="0">
  <queryTableRefresh nextId="3">
    <queryTableFields count="2">
      <queryTableField id="1" name="kategória kód" tableColumnId="1"/>
      <queryTableField id="2" name="kategória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telek" displayName="tblEtelek" ref="A1:H31">
  <autoFilter ref="A1:H31" xr:uid="{00000000-0009-0000-0100-000001000000}"/>
  <tableColumns count="8">
    <tableColumn id="1" xr3:uid="{00000000-0010-0000-0000-000001000000}" name="Név"/>
    <tableColumn id="2" xr3:uid="{00000000-0010-0000-0000-000002000000}" name="Költség"/>
    <tableColumn id="3" xr3:uid="{00000000-0010-0000-0000-000003000000}" name="Energia (kcal)"/>
    <tableColumn id="4" xr3:uid="{00000000-0010-0000-0000-000004000000}" name="Szénhidrát (g)"/>
    <tableColumn id="5" xr3:uid="{00000000-0010-0000-0000-000005000000}" name="Zsír (g)"/>
    <tableColumn id="6" xr3:uid="{00000000-0010-0000-0000-000006000000}" name="Fehérje (g)"/>
    <tableColumn id="7" xr3:uid="{00000000-0010-0000-0000-000007000000}" name="Hozzávalók_db"/>
    <tableColumn id="8" xr3:uid="{00000000-0010-0000-0000-000008000000}" name="Hozzávalók_neve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Kategoriak" displayName="tblKategoriak" ref="A1:F9">
  <autoFilter ref="A1:F9" xr:uid="{00000000-0009-0000-0100-000002000000}"/>
  <tableColumns count="6">
    <tableColumn id="1" xr3:uid="{00000000-0010-0000-0100-000001000000}" name="Kategória név"/>
    <tableColumn id="2" xr3:uid="{00000000-0010-0000-0100-000002000000}" name="Leírás / Célkitűzés"/>
    <tableColumn id="3" xr3:uid="{00000000-0010-0000-0100-000003000000}" name="Heti max. Energia (kcal)"/>
    <tableColumn id="4" xr3:uid="{00000000-0010-0000-0100-000004000000}" name="Heti max. Szénhidrát (g)"/>
    <tableColumn id="5" xr3:uid="{00000000-0010-0000-0100-000005000000}" name="Heti max. Zsír (g)"/>
    <tableColumn id="6" xr3:uid="{00000000-0010-0000-0100-000006000000}" name="Heti max. Fehérje (g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A6075E-12B9-4F9D-8D8D-08670B0D0AF2}" name="alapanyagok" displayName="alapanyagok" ref="A1:B87" tableType="queryTable" totalsRowShown="0">
  <autoFilter ref="A1:B87" xr:uid="{C05B8438-4CDA-4E77-9A7D-069AE12696A8}"/>
  <tableColumns count="2">
    <tableColumn id="1" xr3:uid="{4F975E41-60C4-4B6F-AC42-7A6E31B4A425}" uniqueName="1" name="kód" queryTableFieldId="1"/>
    <tableColumn id="2" xr3:uid="{9B84B71C-683C-4CD5-98CF-F56B0E10C112}" uniqueName="2" name="hozzávaló" queryTableField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558133-8CBB-4304-9030-F3839BA1B712}" name="diétakategória" displayName="diétakategória" ref="A1:F9" tableType="queryTable" totalsRowShown="0">
  <autoFilter ref="A1:F9" xr:uid="{1689C38F-126A-4EA7-A318-E5605C9E8B70}"/>
  <tableColumns count="6">
    <tableColumn id="1" xr3:uid="{F25842EE-A38C-406B-B632-AB08374402D1}" uniqueName="1" name="Kat név" queryTableFieldId="1"/>
    <tableColumn id="2" xr3:uid="{6867670E-04CA-427A-96F0-A7F99F110D30}" uniqueName="2" name="Célkitűzés" queryTableFieldId="2"/>
    <tableColumn id="3" xr3:uid="{CBDB6530-756D-4CD3-AF7E-31887986C38B}" uniqueName="3" name="Heti max (kcal)" queryTableFieldId="3"/>
    <tableColumn id="4" xr3:uid="{FCCD9560-98CA-4740-A70B-7266FEFA5FF9}" uniqueName="4" name="Heti max (Cukor)" queryTableFieldId="4"/>
    <tableColumn id="5" xr3:uid="{767C4C56-CBBE-4803-AA23-3751690850E8}" uniqueName="5" name="Heti max(Zsír)" queryTableFieldId="5"/>
    <tableColumn id="6" xr3:uid="{9F11EC3F-1A04-4C9D-B532-705CDE2DFFB6}" uniqueName="6" name="Heti max (Fehérje)" queryTableFieldId="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1C062E-E324-4DC7-913F-42B3058DBBFD}" name="ételek" displayName="ételek" ref="A1:G31" tableType="queryTable" totalsRowShown="0">
  <autoFilter ref="A1:G31" xr:uid="{A50B6D3C-C7AE-47AA-AFED-8AA841D4C37D}"/>
  <tableColumns count="7">
    <tableColumn id="1" xr3:uid="{F3E2BB11-6898-4409-89FC-690F1FE079A9}" uniqueName="1" name="ételkód" queryTableFieldId="1"/>
    <tableColumn id="2" xr3:uid="{090EF7DD-8E0E-4F9B-9DC8-503D24CF4C11}" uniqueName="2" name="Név" queryTableFieldId="2"/>
    <tableColumn id="3" xr3:uid="{BFC7D0ED-87C0-4B42-BCBE-BDCBB5666E0C}" uniqueName="3" name="Költség" queryTableFieldId="3"/>
    <tableColumn id="4" xr3:uid="{F4427368-CB94-46B6-A1C9-A92D69AE8B4E}" uniqueName="4" name="Energia" queryTableFieldId="4"/>
    <tableColumn id="5" xr3:uid="{7666BA11-FCAA-4193-9FDE-3D78B47F1E73}" uniqueName="5" name="Szénhidrát" queryTableFieldId="5"/>
    <tableColumn id="6" xr3:uid="{9FC38EA0-7D41-42BB-B4B9-613BF4A1A4F7}" uniqueName="6" name="Zsír" queryTableFieldId="6"/>
    <tableColumn id="7" xr3:uid="{8FA93C3D-ED80-45C2-85B7-379B2B86B5A4}" uniqueName="7" name="Fehérje" queryTableFieldId="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23C5AF-8AE1-4D46-BD8F-BDFFEA8D0BCD}" name="hetimenük" displayName="hetimenük" ref="A1:C41" tableType="queryTable" totalsRowShown="0">
  <autoFilter ref="A1:C41" xr:uid="{F8590124-4BFB-4352-9C5D-2DC4F5E4BB9B}"/>
  <tableColumns count="3">
    <tableColumn id="1" xr3:uid="{00DF25D4-9FF8-4FEB-9778-43AC6055AA79}" uniqueName="1" name="menü név" queryTableFieldId="1"/>
    <tableColumn id="2" xr3:uid="{B13088A5-9554-4781-A77F-6D5B36ED1E78}" uniqueName="2" name="Nap" queryTableFieldId="2"/>
    <tableColumn id="3" xr3:uid="{2BAAB199-634A-48AB-A4EA-883CCE6DEA58}" uniqueName="3" name="Étel" queryTableFieldId="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74D469-1B0B-479D-AD0F-014757FE8633}" name="hozzávalók" displayName="hozzávalók" ref="A1:C121" tableType="queryTable" totalsRowShown="0">
  <autoFilter ref="A1:C121" xr:uid="{5DA32271-5C77-45CE-8E31-43FAC140F6EA}"/>
  <tableColumns count="3">
    <tableColumn id="1" xr3:uid="{123CC563-F45A-45AB-9ABB-669010FF887D}" uniqueName="1" name="ékód" queryTableFieldId="1"/>
    <tableColumn id="2" xr3:uid="{8191E15C-5AD1-427E-A62A-A183AFD1E102}" uniqueName="2" name="hkód" queryTableFieldId="2"/>
    <tableColumn id="3" xr3:uid="{FD29D3B5-9FEF-4B5F-98D8-A9763DA68C3C}" uniqueName="3" name="kkód" queryTableFieldId="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211F0B-E67A-4FE6-B1C1-490685BFB97B}" name="kategóriák" displayName="kategóriák" ref="A1:B15" tableType="queryTable" totalsRowShown="0">
  <autoFilter ref="A1:B15" xr:uid="{D51FF738-4DF8-4283-B162-AF849E29BF91}"/>
  <tableColumns count="2">
    <tableColumn id="1" xr3:uid="{12597E7A-DCAA-4A66-A330-E203FEC03899}" uniqueName="1" name="kategória kód" queryTableFieldId="1"/>
    <tableColumn id="2" xr3:uid="{9B870F0E-170B-40AB-B7A9-F9F709F2A78B}" uniqueName="2" name="kategória" queryTableField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1" width="26.140625" customWidth="1"/>
    <col min="2" max="2" width="10" customWidth="1"/>
    <col min="3" max="4" width="12.5703125" customWidth="1"/>
    <col min="5" max="6" width="10" customWidth="1"/>
    <col min="7" max="7" width="11.7109375" customWidth="1"/>
    <col min="8" max="8" width="4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3">
        <v>800</v>
      </c>
      <c r="C2" s="4">
        <v>580</v>
      </c>
      <c r="D2" s="5">
        <v>65</v>
      </c>
      <c r="E2" s="5">
        <v>22</v>
      </c>
      <c r="F2" s="5">
        <v>28</v>
      </c>
      <c r="G2" s="6">
        <v>4</v>
      </c>
      <c r="H2" s="7" t="s">
        <v>9</v>
      </c>
    </row>
    <row r="3" spans="1:8" x14ac:dyDescent="0.25">
      <c r="A3" s="2" t="s">
        <v>10</v>
      </c>
      <c r="B3" s="3">
        <v>1100</v>
      </c>
      <c r="C3" s="4">
        <v>450</v>
      </c>
      <c r="D3" s="5">
        <v>45</v>
      </c>
      <c r="E3" s="5">
        <v>8</v>
      </c>
      <c r="F3" s="5">
        <v>42</v>
      </c>
      <c r="G3" s="6">
        <v>4</v>
      </c>
      <c r="H3" s="7" t="s">
        <v>11</v>
      </c>
    </row>
    <row r="4" spans="1:8" ht="30" x14ac:dyDescent="0.25">
      <c r="A4" s="2" t="s">
        <v>12</v>
      </c>
      <c r="B4" s="3">
        <v>700</v>
      </c>
      <c r="C4" s="4">
        <v>520</v>
      </c>
      <c r="D4" s="5">
        <v>48</v>
      </c>
      <c r="E4" s="5">
        <v>24</v>
      </c>
      <c r="F4" s="5">
        <v>26</v>
      </c>
      <c r="G4" s="6">
        <v>4</v>
      </c>
      <c r="H4" s="7" t="s">
        <v>13</v>
      </c>
    </row>
    <row r="5" spans="1:8" x14ac:dyDescent="0.25">
      <c r="A5" s="2" t="s">
        <v>14</v>
      </c>
      <c r="B5" s="3">
        <v>500</v>
      </c>
      <c r="C5" s="4">
        <v>410</v>
      </c>
      <c r="D5" s="5">
        <v>38</v>
      </c>
      <c r="E5" s="5">
        <v>18</v>
      </c>
      <c r="F5" s="5">
        <v>22</v>
      </c>
      <c r="G5" s="6">
        <v>4</v>
      </c>
      <c r="H5" s="7" t="s">
        <v>15</v>
      </c>
    </row>
    <row r="6" spans="1:8" x14ac:dyDescent="0.25">
      <c r="A6" s="2" t="s">
        <v>16</v>
      </c>
      <c r="B6" s="3">
        <v>1500</v>
      </c>
      <c r="C6" s="4">
        <v>720</v>
      </c>
      <c r="D6" s="5">
        <v>60</v>
      </c>
      <c r="E6" s="5">
        <v>35</v>
      </c>
      <c r="F6" s="5">
        <v>38</v>
      </c>
      <c r="G6" s="6">
        <v>4</v>
      </c>
      <c r="H6" s="7" t="s">
        <v>17</v>
      </c>
    </row>
    <row r="7" spans="1:8" x14ac:dyDescent="0.25">
      <c r="A7" s="2" t="s">
        <v>18</v>
      </c>
      <c r="B7" s="3">
        <v>1700</v>
      </c>
      <c r="C7" s="4">
        <v>380</v>
      </c>
      <c r="D7" s="5">
        <v>12</v>
      </c>
      <c r="E7" s="5">
        <v>22</v>
      </c>
      <c r="F7" s="5">
        <v>32</v>
      </c>
      <c r="G7" s="6">
        <v>4</v>
      </c>
      <c r="H7" s="7" t="s">
        <v>19</v>
      </c>
    </row>
    <row r="8" spans="1:8" x14ac:dyDescent="0.25">
      <c r="A8" s="2" t="s">
        <v>20</v>
      </c>
      <c r="B8" s="3">
        <v>400</v>
      </c>
      <c r="C8" s="4">
        <v>550</v>
      </c>
      <c r="D8" s="5">
        <v>72</v>
      </c>
      <c r="E8" s="5">
        <v>18</v>
      </c>
      <c r="F8" s="5">
        <v>20</v>
      </c>
      <c r="G8" s="6">
        <v>4</v>
      </c>
      <c r="H8" s="7" t="s">
        <v>21</v>
      </c>
    </row>
    <row r="9" spans="1:8" x14ac:dyDescent="0.25">
      <c r="A9" s="2" t="s">
        <v>22</v>
      </c>
      <c r="B9" s="3">
        <v>800</v>
      </c>
      <c r="C9" s="4">
        <v>680</v>
      </c>
      <c r="D9" s="5">
        <v>42</v>
      </c>
      <c r="E9" s="5">
        <v>45</v>
      </c>
      <c r="F9" s="5">
        <v>28</v>
      </c>
      <c r="G9" s="6">
        <v>4</v>
      </c>
      <c r="H9" s="7" t="s">
        <v>23</v>
      </c>
    </row>
    <row r="10" spans="1:8" x14ac:dyDescent="0.25">
      <c r="A10" s="2" t="s">
        <v>24</v>
      </c>
      <c r="B10" s="3">
        <v>450</v>
      </c>
      <c r="C10" s="4">
        <v>180</v>
      </c>
      <c r="D10" s="5">
        <v>25</v>
      </c>
      <c r="E10" s="5">
        <v>6</v>
      </c>
      <c r="F10" s="5">
        <v>5</v>
      </c>
      <c r="G10" s="6">
        <v>4</v>
      </c>
      <c r="H10" s="7" t="s">
        <v>25</v>
      </c>
    </row>
    <row r="11" spans="1:8" x14ac:dyDescent="0.25">
      <c r="A11" s="2" t="s">
        <v>26</v>
      </c>
      <c r="B11" s="3">
        <v>800</v>
      </c>
      <c r="C11" s="4">
        <v>450</v>
      </c>
      <c r="D11" s="5">
        <v>30</v>
      </c>
      <c r="E11" s="5">
        <v>25</v>
      </c>
      <c r="F11" s="5">
        <v>24</v>
      </c>
      <c r="G11" s="6">
        <v>4</v>
      </c>
      <c r="H11" s="7" t="s">
        <v>27</v>
      </c>
    </row>
    <row r="12" spans="1:8" x14ac:dyDescent="0.25">
      <c r="A12" s="2" t="s">
        <v>28</v>
      </c>
      <c r="B12" s="3">
        <v>700</v>
      </c>
      <c r="C12" s="4">
        <v>620</v>
      </c>
      <c r="D12" s="5">
        <v>58</v>
      </c>
      <c r="E12" s="5">
        <v>32</v>
      </c>
      <c r="F12" s="5">
        <v>24</v>
      </c>
      <c r="G12" s="6">
        <v>4</v>
      </c>
      <c r="H12" s="7" t="s">
        <v>29</v>
      </c>
    </row>
    <row r="13" spans="1:8" ht="30" x14ac:dyDescent="0.25">
      <c r="A13" s="2" t="s">
        <v>30</v>
      </c>
      <c r="B13" s="3">
        <v>1050</v>
      </c>
      <c r="C13" s="4">
        <v>850</v>
      </c>
      <c r="D13" s="5">
        <v>75</v>
      </c>
      <c r="E13" s="5">
        <v>48</v>
      </c>
      <c r="F13" s="5">
        <v>28</v>
      </c>
      <c r="G13" s="6">
        <v>4</v>
      </c>
      <c r="H13" s="7" t="s">
        <v>31</v>
      </c>
    </row>
    <row r="14" spans="1:8" ht="30" x14ac:dyDescent="0.25">
      <c r="A14" s="2" t="s">
        <v>32</v>
      </c>
      <c r="B14" s="3">
        <v>550</v>
      </c>
      <c r="C14" s="4">
        <v>380</v>
      </c>
      <c r="D14" s="5">
        <v>45</v>
      </c>
      <c r="E14" s="5">
        <v>18</v>
      </c>
      <c r="F14" s="5">
        <v>10</v>
      </c>
      <c r="G14" s="6">
        <v>4</v>
      </c>
      <c r="H14" s="7" t="s">
        <v>33</v>
      </c>
    </row>
    <row r="15" spans="1:8" ht="30" x14ac:dyDescent="0.25">
      <c r="A15" s="2" t="s">
        <v>34</v>
      </c>
      <c r="B15" s="3">
        <v>1300</v>
      </c>
      <c r="C15" s="4">
        <v>640</v>
      </c>
      <c r="D15" s="5">
        <v>62</v>
      </c>
      <c r="E15" s="5">
        <v>34</v>
      </c>
      <c r="F15" s="5">
        <v>22</v>
      </c>
      <c r="G15" s="6">
        <v>4</v>
      </c>
      <c r="H15" s="7" t="s">
        <v>35</v>
      </c>
    </row>
    <row r="16" spans="1:8" ht="30" x14ac:dyDescent="0.25">
      <c r="A16" s="2" t="s">
        <v>36</v>
      </c>
      <c r="B16" s="3">
        <v>1200</v>
      </c>
      <c r="C16" s="4">
        <v>510</v>
      </c>
      <c r="D16" s="5">
        <v>35</v>
      </c>
      <c r="E16" s="5">
        <v>22</v>
      </c>
      <c r="F16" s="5">
        <v>38</v>
      </c>
      <c r="G16" s="6">
        <v>4</v>
      </c>
      <c r="H16" s="7" t="s">
        <v>37</v>
      </c>
    </row>
    <row r="17" spans="1:8" ht="30" x14ac:dyDescent="0.25">
      <c r="A17" s="2" t="s">
        <v>38</v>
      </c>
      <c r="B17" s="3">
        <v>1100</v>
      </c>
      <c r="C17" s="4">
        <v>710</v>
      </c>
      <c r="D17" s="5">
        <v>48</v>
      </c>
      <c r="E17" s="5">
        <v>42</v>
      </c>
      <c r="F17" s="5">
        <v>32</v>
      </c>
      <c r="G17" s="6">
        <v>4</v>
      </c>
      <c r="H17" s="7" t="s">
        <v>39</v>
      </c>
    </row>
    <row r="18" spans="1:8" x14ac:dyDescent="0.25">
      <c r="A18" s="2" t="s">
        <v>40</v>
      </c>
      <c r="B18" s="3">
        <v>900</v>
      </c>
      <c r="C18" s="4">
        <v>280</v>
      </c>
      <c r="D18" s="5">
        <v>10</v>
      </c>
      <c r="E18" s="5">
        <v>22</v>
      </c>
      <c r="F18" s="5">
        <v>8</v>
      </c>
      <c r="G18" s="6">
        <v>4</v>
      </c>
      <c r="H18" s="7" t="s">
        <v>41</v>
      </c>
    </row>
    <row r="19" spans="1:8" ht="30" x14ac:dyDescent="0.25">
      <c r="A19" s="2" t="s">
        <v>42</v>
      </c>
      <c r="B19" s="3">
        <v>1050</v>
      </c>
      <c r="C19" s="4">
        <v>420</v>
      </c>
      <c r="D19" s="5">
        <v>15</v>
      </c>
      <c r="E19" s="5">
        <v>25</v>
      </c>
      <c r="F19" s="5">
        <v>34</v>
      </c>
      <c r="G19" s="6">
        <v>4</v>
      </c>
      <c r="H19" s="7" t="s">
        <v>43</v>
      </c>
    </row>
    <row r="20" spans="1:8" x14ac:dyDescent="0.25">
      <c r="A20" s="2" t="s">
        <v>44</v>
      </c>
      <c r="B20" s="3">
        <v>900</v>
      </c>
      <c r="C20" s="4">
        <v>480</v>
      </c>
      <c r="D20" s="5">
        <v>18</v>
      </c>
      <c r="E20" s="5">
        <v>32</v>
      </c>
      <c r="F20" s="5">
        <v>26</v>
      </c>
      <c r="G20" s="6">
        <v>4</v>
      </c>
      <c r="H20" s="7" t="s">
        <v>45</v>
      </c>
    </row>
    <row r="21" spans="1:8" x14ac:dyDescent="0.25">
      <c r="A21" s="2" t="s">
        <v>46</v>
      </c>
      <c r="B21" s="3">
        <v>350</v>
      </c>
      <c r="C21" s="4">
        <v>320</v>
      </c>
      <c r="D21" s="5">
        <v>42</v>
      </c>
      <c r="E21" s="5">
        <v>10</v>
      </c>
      <c r="F21" s="5">
        <v>14</v>
      </c>
      <c r="G21" s="6">
        <v>4</v>
      </c>
      <c r="H21" s="7" t="s">
        <v>47</v>
      </c>
    </row>
    <row r="22" spans="1:8" ht="30" x14ac:dyDescent="0.25">
      <c r="A22" s="2" t="s">
        <v>48</v>
      </c>
      <c r="B22" s="3">
        <v>1100</v>
      </c>
      <c r="C22" s="4">
        <v>530</v>
      </c>
      <c r="D22" s="5">
        <v>68</v>
      </c>
      <c r="E22" s="5">
        <v>15</v>
      </c>
      <c r="F22" s="5">
        <v>28</v>
      </c>
      <c r="G22" s="6">
        <v>4</v>
      </c>
      <c r="H22" s="7" t="s">
        <v>49</v>
      </c>
    </row>
    <row r="23" spans="1:8" x14ac:dyDescent="0.25">
      <c r="A23" s="2" t="s">
        <v>50</v>
      </c>
      <c r="B23" s="3">
        <v>650</v>
      </c>
      <c r="C23" s="4">
        <v>210</v>
      </c>
      <c r="D23" s="5">
        <v>18</v>
      </c>
      <c r="E23" s="5">
        <v>8</v>
      </c>
      <c r="F23" s="5">
        <v>16</v>
      </c>
      <c r="G23" s="6">
        <v>4</v>
      </c>
      <c r="H23" s="7" t="s">
        <v>51</v>
      </c>
    </row>
    <row r="24" spans="1:8" x14ac:dyDescent="0.25">
      <c r="A24" s="2" t="s">
        <v>52</v>
      </c>
      <c r="B24" s="3">
        <v>950</v>
      </c>
      <c r="C24" s="4">
        <v>540</v>
      </c>
      <c r="D24" s="5">
        <v>15</v>
      </c>
      <c r="E24" s="5">
        <v>38</v>
      </c>
      <c r="F24" s="5">
        <v>28</v>
      </c>
      <c r="G24" s="6">
        <v>4</v>
      </c>
      <c r="H24" s="7" t="s">
        <v>53</v>
      </c>
    </row>
    <row r="25" spans="1:8" x14ac:dyDescent="0.25">
      <c r="A25" s="2" t="s">
        <v>54</v>
      </c>
      <c r="B25" s="3">
        <v>1300</v>
      </c>
      <c r="C25" s="4">
        <v>820</v>
      </c>
      <c r="D25" s="5">
        <v>78</v>
      </c>
      <c r="E25" s="5">
        <v>38</v>
      </c>
      <c r="F25" s="5">
        <v>36</v>
      </c>
      <c r="G25" s="6">
        <v>4</v>
      </c>
      <c r="H25" s="7" t="s">
        <v>55</v>
      </c>
    </row>
    <row r="26" spans="1:8" x14ac:dyDescent="0.25">
      <c r="A26" s="2" t="s">
        <v>56</v>
      </c>
      <c r="B26" s="3">
        <v>800</v>
      </c>
      <c r="C26" s="4">
        <v>460</v>
      </c>
      <c r="D26" s="5">
        <v>42</v>
      </c>
      <c r="E26" s="5">
        <v>20</v>
      </c>
      <c r="F26" s="5">
        <v>24</v>
      </c>
      <c r="G26" s="6">
        <v>4</v>
      </c>
      <c r="H26" s="7" t="s">
        <v>57</v>
      </c>
    </row>
    <row r="27" spans="1:8" x14ac:dyDescent="0.25">
      <c r="A27" s="2" t="s">
        <v>58</v>
      </c>
      <c r="B27" s="3">
        <v>1800</v>
      </c>
      <c r="C27" s="4">
        <v>410</v>
      </c>
      <c r="D27" s="5">
        <v>8</v>
      </c>
      <c r="E27" s="5">
        <v>28</v>
      </c>
      <c r="F27" s="5">
        <v>32</v>
      </c>
      <c r="G27" s="6">
        <v>4</v>
      </c>
      <c r="H27" s="7" t="s">
        <v>59</v>
      </c>
    </row>
    <row r="28" spans="1:8" x14ac:dyDescent="0.25">
      <c r="A28" s="2" t="s">
        <v>60</v>
      </c>
      <c r="B28" s="3">
        <v>400</v>
      </c>
      <c r="C28" s="4">
        <v>310</v>
      </c>
      <c r="D28" s="5">
        <v>15</v>
      </c>
      <c r="E28" s="5">
        <v>22</v>
      </c>
      <c r="F28" s="5">
        <v>14</v>
      </c>
      <c r="G28" s="6">
        <v>4</v>
      </c>
      <c r="H28" s="7" t="s">
        <v>61</v>
      </c>
    </row>
    <row r="29" spans="1:8" x14ac:dyDescent="0.25">
      <c r="A29" s="2" t="s">
        <v>62</v>
      </c>
      <c r="B29" s="3">
        <v>550</v>
      </c>
      <c r="C29" s="4">
        <v>520</v>
      </c>
      <c r="D29" s="5">
        <v>55</v>
      </c>
      <c r="E29" s="5">
        <v>18</v>
      </c>
      <c r="F29" s="5">
        <v>28</v>
      </c>
      <c r="G29" s="6">
        <v>4</v>
      </c>
      <c r="H29" s="7" t="s">
        <v>63</v>
      </c>
    </row>
    <row r="30" spans="1:8" x14ac:dyDescent="0.25">
      <c r="A30" s="2" t="s">
        <v>64</v>
      </c>
      <c r="B30" s="3">
        <v>650</v>
      </c>
      <c r="C30" s="4">
        <v>590</v>
      </c>
      <c r="D30" s="5">
        <v>85</v>
      </c>
      <c r="E30" s="5">
        <v>18</v>
      </c>
      <c r="F30" s="5">
        <v>16</v>
      </c>
      <c r="G30" s="6">
        <v>4</v>
      </c>
      <c r="H30" s="7" t="s">
        <v>65</v>
      </c>
    </row>
    <row r="31" spans="1:8" x14ac:dyDescent="0.25">
      <c r="A31" s="2" t="s">
        <v>66</v>
      </c>
      <c r="B31" s="3">
        <v>750</v>
      </c>
      <c r="C31" s="4">
        <v>490</v>
      </c>
      <c r="D31" s="5">
        <v>68</v>
      </c>
      <c r="E31" s="5">
        <v>16</v>
      </c>
      <c r="F31" s="5">
        <v>14</v>
      </c>
      <c r="G31" s="6">
        <v>4</v>
      </c>
      <c r="H31" s="7" t="s">
        <v>67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70" customWidth="1"/>
    <col min="3" max="6" width="22" customWidth="1"/>
  </cols>
  <sheetData>
    <row r="1" spans="1:6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 x14ac:dyDescent="0.25">
      <c r="A2" s="2" t="s">
        <v>74</v>
      </c>
      <c r="B2" s="7" t="s">
        <v>75</v>
      </c>
      <c r="C2" s="4">
        <v>1300</v>
      </c>
      <c r="D2" s="5">
        <v>70</v>
      </c>
      <c r="E2" s="5">
        <v>35</v>
      </c>
      <c r="F2" s="5">
        <v>200</v>
      </c>
    </row>
    <row r="3" spans="1:6" x14ac:dyDescent="0.25">
      <c r="A3" s="2" t="s">
        <v>76</v>
      </c>
      <c r="B3" s="7" t="s">
        <v>77</v>
      </c>
      <c r="C3" s="4">
        <v>4000</v>
      </c>
      <c r="D3" s="5">
        <v>350</v>
      </c>
      <c r="E3" s="5">
        <v>270</v>
      </c>
      <c r="F3" s="5">
        <v>300</v>
      </c>
    </row>
    <row r="4" spans="1:6" x14ac:dyDescent="0.25">
      <c r="A4" s="2" t="s">
        <v>78</v>
      </c>
      <c r="B4" s="7" t="s">
        <v>79</v>
      </c>
      <c r="C4" s="4">
        <v>2100</v>
      </c>
      <c r="D4" s="5">
        <v>50</v>
      </c>
      <c r="E4" s="5">
        <v>200</v>
      </c>
      <c r="F4" s="5">
        <v>180</v>
      </c>
    </row>
    <row r="5" spans="1:6" x14ac:dyDescent="0.25">
      <c r="A5" s="2" t="s">
        <v>80</v>
      </c>
      <c r="B5" s="7" t="s">
        <v>81</v>
      </c>
      <c r="C5" s="4">
        <v>1600</v>
      </c>
      <c r="D5" s="5">
        <v>250</v>
      </c>
      <c r="E5" s="5">
        <v>160</v>
      </c>
      <c r="F5" s="5">
        <v>150</v>
      </c>
    </row>
    <row r="6" spans="1:6" x14ac:dyDescent="0.25">
      <c r="A6" s="2" t="s">
        <v>82</v>
      </c>
      <c r="B6" s="7" t="s">
        <v>83</v>
      </c>
      <c r="C6" s="4">
        <v>2100</v>
      </c>
      <c r="D6" s="5">
        <v>70</v>
      </c>
      <c r="E6" s="5">
        <v>180</v>
      </c>
      <c r="F6" s="5">
        <v>200</v>
      </c>
    </row>
    <row r="7" spans="1:6" x14ac:dyDescent="0.25">
      <c r="A7" s="2" t="s">
        <v>84</v>
      </c>
      <c r="B7" s="7" t="s">
        <v>85</v>
      </c>
      <c r="C7" s="4">
        <v>2000</v>
      </c>
      <c r="D7" s="5">
        <v>200</v>
      </c>
      <c r="E7" s="5">
        <v>150</v>
      </c>
      <c r="F7" s="5">
        <v>180</v>
      </c>
    </row>
    <row r="8" spans="1:6" x14ac:dyDescent="0.25">
      <c r="A8" s="2" t="s">
        <v>86</v>
      </c>
      <c r="B8" s="7" t="s">
        <v>87</v>
      </c>
      <c r="C8" s="4">
        <v>1500</v>
      </c>
      <c r="D8" s="5">
        <v>100</v>
      </c>
      <c r="E8" s="5">
        <v>200</v>
      </c>
      <c r="F8" s="5">
        <v>100</v>
      </c>
    </row>
    <row r="9" spans="1:6" x14ac:dyDescent="0.25">
      <c r="A9" s="2" t="s">
        <v>88</v>
      </c>
      <c r="B9" s="7" t="s">
        <v>89</v>
      </c>
      <c r="C9" s="4">
        <v>3500</v>
      </c>
      <c r="D9" s="5">
        <v>300</v>
      </c>
      <c r="E9" s="5">
        <v>230</v>
      </c>
      <c r="F9" s="5">
        <v>200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8"/>
  <sheetViews>
    <sheetView topLeftCell="C1" workbookViewId="0">
      <pane ySplit="2" topLeftCell="A9" activePane="bottomLeft" state="frozen"/>
      <selection pane="bottomLeft" activeCell="I8" sqref="I8"/>
    </sheetView>
  </sheetViews>
  <sheetFormatPr defaultRowHeight="15" x14ac:dyDescent="0.25"/>
  <cols>
    <col min="1" max="1" width="22" customWidth="1"/>
    <col min="2" max="2" width="16" customWidth="1"/>
    <col min="5" max="5" width="22" customWidth="1"/>
    <col min="6" max="6" width="16" customWidth="1"/>
    <col min="9" max="9" width="22" customWidth="1"/>
    <col min="10" max="10" width="16" customWidth="1"/>
    <col min="13" max="13" width="22" customWidth="1"/>
    <col min="14" max="14" width="16" customWidth="1"/>
    <col min="17" max="17" width="22" customWidth="1"/>
    <col min="18" max="18" width="16" customWidth="1"/>
    <col min="21" max="21" width="22" customWidth="1"/>
    <col min="22" max="22" width="16" customWidth="1"/>
  </cols>
  <sheetData>
    <row r="1" spans="1:22" x14ac:dyDescent="0.25">
      <c r="A1" s="9" t="s">
        <v>90</v>
      </c>
      <c r="E1" s="9" t="s">
        <v>91</v>
      </c>
      <c r="I1" s="9" t="s">
        <v>92</v>
      </c>
      <c r="M1" s="9" t="s">
        <v>93</v>
      </c>
      <c r="Q1" s="9" t="s">
        <v>94</v>
      </c>
      <c r="U1" s="9" t="s">
        <v>95</v>
      </c>
    </row>
    <row r="2" spans="1:22" x14ac:dyDescent="0.25">
      <c r="A2" s="1" t="s">
        <v>96</v>
      </c>
      <c r="B2" s="1" t="s">
        <v>1</v>
      </c>
      <c r="E2" s="1" t="s">
        <v>96</v>
      </c>
      <c r="F2" s="1" t="s">
        <v>2</v>
      </c>
      <c r="I2" s="1" t="s">
        <v>96</v>
      </c>
      <c r="J2" s="1" t="s">
        <v>3</v>
      </c>
      <c r="M2" s="1" t="s">
        <v>96</v>
      </c>
      <c r="N2" s="1" t="s">
        <v>4</v>
      </c>
      <c r="Q2" s="1" t="s">
        <v>96</v>
      </c>
      <c r="R2" s="1" t="s">
        <v>5</v>
      </c>
      <c r="U2" s="1" t="s">
        <v>96</v>
      </c>
    </row>
    <row r="3" spans="1:22" ht="30" x14ac:dyDescent="0.25">
      <c r="A3" s="7" t="s">
        <v>58</v>
      </c>
      <c r="B3" s="3">
        <v>1800</v>
      </c>
      <c r="E3" s="7" t="s">
        <v>30</v>
      </c>
      <c r="F3" s="4">
        <v>850</v>
      </c>
      <c r="I3" s="7" t="s">
        <v>64</v>
      </c>
      <c r="J3" s="5">
        <v>85</v>
      </c>
      <c r="M3" s="7" t="s">
        <v>30</v>
      </c>
      <c r="N3" s="5">
        <v>48</v>
      </c>
      <c r="Q3" s="7" t="s">
        <v>10</v>
      </c>
      <c r="R3" s="5">
        <v>42</v>
      </c>
      <c r="U3" s="7" t="s">
        <v>8</v>
      </c>
      <c r="V3" s="1" t="s">
        <v>6</v>
      </c>
    </row>
    <row r="4" spans="1:22" ht="30" x14ac:dyDescent="0.25">
      <c r="A4" s="7" t="s">
        <v>18</v>
      </c>
      <c r="B4" s="3">
        <v>1700</v>
      </c>
      <c r="E4" s="7" t="s">
        <v>54</v>
      </c>
      <c r="F4" s="4">
        <v>820</v>
      </c>
      <c r="I4" s="7" t="s">
        <v>54</v>
      </c>
      <c r="J4" s="5">
        <v>78</v>
      </c>
      <c r="M4" s="7" t="s">
        <v>22</v>
      </c>
      <c r="N4" s="5">
        <v>45</v>
      </c>
      <c r="Q4" s="7" t="s">
        <v>36</v>
      </c>
      <c r="R4" s="5">
        <v>38</v>
      </c>
      <c r="U4" s="7" t="s">
        <v>10</v>
      </c>
      <c r="V4" s="6">
        <v>4</v>
      </c>
    </row>
    <row r="5" spans="1:22" ht="30" x14ac:dyDescent="0.25">
      <c r="A5" s="7" t="s">
        <v>16</v>
      </c>
      <c r="B5" s="3">
        <v>1500</v>
      </c>
      <c r="E5" s="7" t="s">
        <v>16</v>
      </c>
      <c r="F5" s="4">
        <v>720</v>
      </c>
      <c r="I5" s="7" t="s">
        <v>30</v>
      </c>
      <c r="J5" s="5">
        <v>75</v>
      </c>
      <c r="M5" s="7" t="s">
        <v>38</v>
      </c>
      <c r="N5" s="5">
        <v>42</v>
      </c>
      <c r="Q5" s="7" t="s">
        <v>16</v>
      </c>
      <c r="R5" s="5">
        <v>38</v>
      </c>
      <c r="U5" s="7" t="s">
        <v>64</v>
      </c>
      <c r="V5" s="6">
        <v>4</v>
      </c>
    </row>
    <row r="6" spans="1:22" x14ac:dyDescent="0.25">
      <c r="A6" s="7" t="s">
        <v>54</v>
      </c>
      <c r="B6" s="3">
        <v>1300</v>
      </c>
      <c r="E6" s="7" t="s">
        <v>38</v>
      </c>
      <c r="F6" s="4">
        <v>710</v>
      </c>
      <c r="I6" s="7" t="s">
        <v>20</v>
      </c>
      <c r="J6" s="5">
        <v>72</v>
      </c>
      <c r="M6" s="7" t="s">
        <v>54</v>
      </c>
      <c r="N6" s="5">
        <v>38</v>
      </c>
      <c r="Q6" s="7" t="s">
        <v>54</v>
      </c>
      <c r="R6" s="5">
        <v>36</v>
      </c>
      <c r="U6" s="7" t="s">
        <v>62</v>
      </c>
      <c r="V6" s="6">
        <v>4</v>
      </c>
    </row>
    <row r="7" spans="1:22" ht="30" x14ac:dyDescent="0.25">
      <c r="A7" s="7" t="s">
        <v>34</v>
      </c>
      <c r="B7" s="3">
        <v>1300</v>
      </c>
      <c r="E7" s="7" t="s">
        <v>22</v>
      </c>
      <c r="F7" s="4">
        <v>680</v>
      </c>
      <c r="I7" s="7" t="s">
        <v>66</v>
      </c>
      <c r="J7" s="5">
        <v>68</v>
      </c>
      <c r="M7" s="7" t="s">
        <v>52</v>
      </c>
      <c r="N7" s="5">
        <v>38</v>
      </c>
      <c r="Q7" s="7" t="s">
        <v>42</v>
      </c>
      <c r="R7" s="5">
        <v>34</v>
      </c>
      <c r="U7" s="7" t="s">
        <v>60</v>
      </c>
      <c r="V7" s="6">
        <v>4</v>
      </c>
    </row>
    <row r="8" spans="1:22" ht="30" x14ac:dyDescent="0.25">
      <c r="A8" s="7" t="s">
        <v>36</v>
      </c>
      <c r="B8" s="3">
        <v>1200</v>
      </c>
      <c r="E8" s="7" t="s">
        <v>34</v>
      </c>
      <c r="F8" s="4">
        <v>640</v>
      </c>
      <c r="I8" s="7" t="s">
        <v>48</v>
      </c>
      <c r="J8" s="5">
        <v>68</v>
      </c>
      <c r="M8" s="7" t="s">
        <v>16</v>
      </c>
      <c r="N8" s="5">
        <v>35</v>
      </c>
      <c r="Q8" s="7" t="s">
        <v>38</v>
      </c>
      <c r="R8" s="5">
        <v>32</v>
      </c>
      <c r="U8" s="7" t="s">
        <v>58</v>
      </c>
      <c r="V8" s="6">
        <v>4</v>
      </c>
    </row>
    <row r="9" spans="1:22" ht="30" x14ac:dyDescent="0.25">
      <c r="A9" s="7" t="s">
        <v>38</v>
      </c>
      <c r="B9" s="3">
        <v>1100</v>
      </c>
      <c r="E9" s="7" t="s">
        <v>28</v>
      </c>
      <c r="F9" s="4">
        <v>620</v>
      </c>
      <c r="I9" s="7" t="s">
        <v>8</v>
      </c>
      <c r="J9" s="5">
        <v>65</v>
      </c>
      <c r="M9" s="7" t="s">
        <v>34</v>
      </c>
      <c r="N9" s="5">
        <v>34</v>
      </c>
      <c r="Q9" s="7" t="s">
        <v>58</v>
      </c>
      <c r="R9" s="5">
        <v>32</v>
      </c>
      <c r="U9" s="7" t="s">
        <v>56</v>
      </c>
      <c r="V9" s="6">
        <v>4</v>
      </c>
    </row>
    <row r="10" spans="1:22" ht="30" x14ac:dyDescent="0.25">
      <c r="A10" s="7" t="s">
        <v>10</v>
      </c>
      <c r="B10" s="3">
        <v>1100</v>
      </c>
      <c r="E10" s="7" t="s">
        <v>64</v>
      </c>
      <c r="F10" s="4">
        <v>590</v>
      </c>
      <c r="I10" s="7" t="s">
        <v>34</v>
      </c>
      <c r="J10" s="5">
        <v>62</v>
      </c>
      <c r="M10" s="7" t="s">
        <v>28</v>
      </c>
      <c r="N10" s="5">
        <v>32</v>
      </c>
      <c r="Q10" s="7" t="s">
        <v>18</v>
      </c>
      <c r="R10" s="5">
        <v>32</v>
      </c>
      <c r="U10" s="7" t="s">
        <v>54</v>
      </c>
      <c r="V10" s="6">
        <v>4</v>
      </c>
    </row>
    <row r="11" spans="1:22" ht="30" x14ac:dyDescent="0.25">
      <c r="A11" s="7" t="s">
        <v>48</v>
      </c>
      <c r="B11" s="3">
        <v>1100</v>
      </c>
      <c r="E11" s="7" t="s">
        <v>8</v>
      </c>
      <c r="F11" s="4">
        <v>580</v>
      </c>
      <c r="I11" s="7" t="s">
        <v>16</v>
      </c>
      <c r="J11" s="5">
        <v>60</v>
      </c>
      <c r="M11" s="7" t="s">
        <v>44</v>
      </c>
      <c r="N11" s="5">
        <v>32</v>
      </c>
      <c r="Q11" s="7" t="s">
        <v>62</v>
      </c>
      <c r="R11" s="5">
        <v>28</v>
      </c>
      <c r="U11" s="7" t="s">
        <v>52</v>
      </c>
      <c r="V11" s="6">
        <v>4</v>
      </c>
    </row>
    <row r="12" spans="1:22" ht="30" x14ac:dyDescent="0.25">
      <c r="A12" s="7" t="s">
        <v>42</v>
      </c>
      <c r="B12" s="3">
        <v>1050</v>
      </c>
      <c r="E12" s="7" t="s">
        <v>20</v>
      </c>
      <c r="F12" s="4">
        <v>550</v>
      </c>
      <c r="I12" s="7" t="s">
        <v>28</v>
      </c>
      <c r="J12" s="5">
        <v>58</v>
      </c>
      <c r="M12" s="7" t="s">
        <v>58</v>
      </c>
      <c r="N12" s="5">
        <v>28</v>
      </c>
      <c r="Q12" s="7" t="s">
        <v>52</v>
      </c>
      <c r="R12" s="5">
        <v>28</v>
      </c>
      <c r="U12" s="7" t="s">
        <v>50</v>
      </c>
      <c r="V12" s="6">
        <v>4</v>
      </c>
    </row>
    <row r="13" spans="1:22" ht="30" x14ac:dyDescent="0.25">
      <c r="A13" s="7" t="s">
        <v>30</v>
      </c>
      <c r="B13" s="3">
        <v>1050</v>
      </c>
      <c r="E13" s="7" t="s">
        <v>52</v>
      </c>
      <c r="F13" s="4">
        <v>540</v>
      </c>
      <c r="I13" s="7" t="s">
        <v>62</v>
      </c>
      <c r="J13" s="5">
        <v>55</v>
      </c>
      <c r="M13" s="7" t="s">
        <v>26</v>
      </c>
      <c r="N13" s="5">
        <v>25</v>
      </c>
      <c r="Q13" s="7" t="s">
        <v>48</v>
      </c>
      <c r="R13" s="5">
        <v>28</v>
      </c>
      <c r="U13" s="7" t="s">
        <v>48</v>
      </c>
      <c r="V13" s="6">
        <v>4</v>
      </c>
    </row>
    <row r="14" spans="1:22" ht="30" x14ac:dyDescent="0.25">
      <c r="A14" s="7" t="s">
        <v>52</v>
      </c>
      <c r="B14" s="3">
        <v>950</v>
      </c>
      <c r="E14" s="7" t="s">
        <v>48</v>
      </c>
      <c r="F14" s="4">
        <v>530</v>
      </c>
      <c r="I14" s="7" t="s">
        <v>38</v>
      </c>
      <c r="J14" s="5">
        <v>48</v>
      </c>
      <c r="M14" s="7" t="s">
        <v>42</v>
      </c>
      <c r="N14" s="5">
        <v>25</v>
      </c>
      <c r="Q14" s="7" t="s">
        <v>8</v>
      </c>
      <c r="R14" s="5">
        <v>28</v>
      </c>
      <c r="U14" s="7" t="s">
        <v>46</v>
      </c>
      <c r="V14" s="6">
        <v>4</v>
      </c>
    </row>
    <row r="15" spans="1:22" ht="30" x14ac:dyDescent="0.25">
      <c r="A15" s="7" t="s">
        <v>44</v>
      </c>
      <c r="B15" s="3">
        <v>900</v>
      </c>
      <c r="E15" s="7" t="s">
        <v>12</v>
      </c>
      <c r="F15" s="4">
        <v>520</v>
      </c>
      <c r="I15" s="7" t="s">
        <v>12</v>
      </c>
      <c r="J15" s="5">
        <v>48</v>
      </c>
      <c r="M15" s="7" t="s">
        <v>12</v>
      </c>
      <c r="N15" s="5">
        <v>24</v>
      </c>
      <c r="Q15" s="7" t="s">
        <v>30</v>
      </c>
      <c r="R15" s="5">
        <v>28</v>
      </c>
      <c r="U15" s="7" t="s">
        <v>44</v>
      </c>
      <c r="V15" s="6">
        <v>4</v>
      </c>
    </row>
    <row r="16" spans="1:22" ht="30" x14ac:dyDescent="0.25">
      <c r="A16" s="7" t="s">
        <v>40</v>
      </c>
      <c r="B16" s="3">
        <v>900</v>
      </c>
      <c r="E16" s="7" t="s">
        <v>62</v>
      </c>
      <c r="F16" s="4">
        <v>520</v>
      </c>
      <c r="I16" s="7" t="s">
        <v>32</v>
      </c>
      <c r="J16" s="5">
        <v>45</v>
      </c>
      <c r="M16" s="7" t="s">
        <v>40</v>
      </c>
      <c r="N16" s="5">
        <v>22</v>
      </c>
      <c r="Q16" s="7" t="s">
        <v>22</v>
      </c>
      <c r="R16" s="5">
        <v>28</v>
      </c>
      <c r="U16" s="7" t="s">
        <v>42</v>
      </c>
      <c r="V16" s="6">
        <v>4</v>
      </c>
    </row>
    <row r="17" spans="1:22" ht="30" x14ac:dyDescent="0.25">
      <c r="A17" s="7" t="s">
        <v>56</v>
      </c>
      <c r="B17" s="3">
        <v>800</v>
      </c>
      <c r="E17" s="7" t="s">
        <v>36</v>
      </c>
      <c r="F17" s="4">
        <v>510</v>
      </c>
      <c r="I17" s="7" t="s">
        <v>10</v>
      </c>
      <c r="J17" s="5">
        <v>45</v>
      </c>
      <c r="M17" s="7" t="s">
        <v>60</v>
      </c>
      <c r="N17" s="5">
        <v>22</v>
      </c>
      <c r="Q17" s="7" t="s">
        <v>44</v>
      </c>
      <c r="R17" s="5">
        <v>26</v>
      </c>
      <c r="U17" s="7" t="s">
        <v>40</v>
      </c>
      <c r="V17" s="6">
        <v>4</v>
      </c>
    </row>
    <row r="18" spans="1:22" x14ac:dyDescent="0.25">
      <c r="V18" s="6">
        <v>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56FA9-17AC-4BD5-8704-9DE54049A6A0}">
  <dimension ref="A1:B87"/>
  <sheetViews>
    <sheetView workbookViewId="0"/>
  </sheetViews>
  <sheetFormatPr defaultRowHeight="15" x14ac:dyDescent="0.25"/>
  <cols>
    <col min="1" max="1" width="6.5703125" bestFit="1" customWidth="1"/>
    <col min="2" max="2" width="17.7109375" bestFit="1" customWidth="1"/>
  </cols>
  <sheetData>
    <row r="1" spans="1:2" x14ac:dyDescent="0.25">
      <c r="A1" t="s">
        <v>118</v>
      </c>
      <c r="B1" t="s">
        <v>119</v>
      </c>
    </row>
    <row r="2" spans="1:2" x14ac:dyDescent="0.25">
      <c r="A2">
        <v>1</v>
      </c>
      <c r="B2" t="s">
        <v>120</v>
      </c>
    </row>
    <row r="3" spans="1:2" x14ac:dyDescent="0.25">
      <c r="A3">
        <v>2</v>
      </c>
      <c r="B3" t="s">
        <v>121</v>
      </c>
    </row>
    <row r="4" spans="1:2" x14ac:dyDescent="0.25">
      <c r="A4">
        <v>3</v>
      </c>
      <c r="B4" t="s">
        <v>122</v>
      </c>
    </row>
    <row r="5" spans="1:2" x14ac:dyDescent="0.25">
      <c r="A5">
        <v>4</v>
      </c>
      <c r="B5" t="s">
        <v>123</v>
      </c>
    </row>
    <row r="6" spans="1:2" x14ac:dyDescent="0.25">
      <c r="A6">
        <v>5</v>
      </c>
      <c r="B6" t="s">
        <v>124</v>
      </c>
    </row>
    <row r="7" spans="1:2" x14ac:dyDescent="0.25">
      <c r="A7">
        <v>6</v>
      </c>
      <c r="B7" t="s">
        <v>125</v>
      </c>
    </row>
    <row r="8" spans="1:2" x14ac:dyDescent="0.25">
      <c r="A8">
        <v>7</v>
      </c>
      <c r="B8" t="s">
        <v>126</v>
      </c>
    </row>
    <row r="9" spans="1:2" x14ac:dyDescent="0.25">
      <c r="A9">
        <v>8</v>
      </c>
      <c r="B9" t="s">
        <v>127</v>
      </c>
    </row>
    <row r="10" spans="1:2" x14ac:dyDescent="0.25">
      <c r="A10">
        <v>9</v>
      </c>
      <c r="B10" t="s">
        <v>128</v>
      </c>
    </row>
    <row r="11" spans="1:2" x14ac:dyDescent="0.25">
      <c r="A11">
        <v>10</v>
      </c>
      <c r="B11" t="s">
        <v>129</v>
      </c>
    </row>
    <row r="12" spans="1:2" x14ac:dyDescent="0.25">
      <c r="A12">
        <v>11</v>
      </c>
      <c r="B12" t="s">
        <v>130</v>
      </c>
    </row>
    <row r="13" spans="1:2" x14ac:dyDescent="0.25">
      <c r="A13">
        <v>12</v>
      </c>
      <c r="B13" t="s">
        <v>131</v>
      </c>
    </row>
    <row r="14" spans="1:2" x14ac:dyDescent="0.25">
      <c r="A14">
        <v>13</v>
      </c>
      <c r="B14" t="s">
        <v>132</v>
      </c>
    </row>
    <row r="15" spans="1:2" x14ac:dyDescent="0.25">
      <c r="A15">
        <v>14</v>
      </c>
      <c r="B15" t="s">
        <v>133</v>
      </c>
    </row>
    <row r="16" spans="1:2" x14ac:dyDescent="0.25">
      <c r="A16">
        <v>15</v>
      </c>
      <c r="B16" t="s">
        <v>134</v>
      </c>
    </row>
    <row r="17" spans="1:2" x14ac:dyDescent="0.25">
      <c r="A17">
        <v>16</v>
      </c>
      <c r="B17" t="s">
        <v>135</v>
      </c>
    </row>
    <row r="18" spans="1:2" x14ac:dyDescent="0.25">
      <c r="A18">
        <v>17</v>
      </c>
      <c r="B18" t="s">
        <v>136</v>
      </c>
    </row>
    <row r="19" spans="1:2" x14ac:dyDescent="0.25">
      <c r="A19">
        <v>18</v>
      </c>
      <c r="B19" t="s">
        <v>137</v>
      </c>
    </row>
    <row r="20" spans="1:2" x14ac:dyDescent="0.25">
      <c r="A20">
        <v>19</v>
      </c>
      <c r="B20" t="s">
        <v>138</v>
      </c>
    </row>
    <row r="21" spans="1:2" x14ac:dyDescent="0.25">
      <c r="A21">
        <v>20</v>
      </c>
      <c r="B21" t="s">
        <v>139</v>
      </c>
    </row>
    <row r="22" spans="1:2" x14ac:dyDescent="0.25">
      <c r="A22">
        <v>21</v>
      </c>
      <c r="B22" t="s">
        <v>140</v>
      </c>
    </row>
    <row r="23" spans="1:2" x14ac:dyDescent="0.25">
      <c r="A23">
        <v>22</v>
      </c>
      <c r="B23" t="s">
        <v>141</v>
      </c>
    </row>
    <row r="24" spans="1:2" x14ac:dyDescent="0.25">
      <c r="A24">
        <v>23</v>
      </c>
      <c r="B24" t="s">
        <v>142</v>
      </c>
    </row>
    <row r="25" spans="1:2" x14ac:dyDescent="0.25">
      <c r="A25">
        <v>24</v>
      </c>
      <c r="B25" t="s">
        <v>143</v>
      </c>
    </row>
    <row r="26" spans="1:2" x14ac:dyDescent="0.25">
      <c r="A26">
        <v>25</v>
      </c>
      <c r="B26" t="s">
        <v>144</v>
      </c>
    </row>
    <row r="27" spans="1:2" x14ac:dyDescent="0.25">
      <c r="A27">
        <v>26</v>
      </c>
      <c r="B27" t="s">
        <v>145</v>
      </c>
    </row>
    <row r="28" spans="1:2" x14ac:dyDescent="0.25">
      <c r="A28">
        <v>27</v>
      </c>
      <c r="B28" t="s">
        <v>146</v>
      </c>
    </row>
    <row r="29" spans="1:2" x14ac:dyDescent="0.25">
      <c r="A29">
        <v>28</v>
      </c>
      <c r="B29" t="s">
        <v>147</v>
      </c>
    </row>
    <row r="30" spans="1:2" x14ac:dyDescent="0.25">
      <c r="A30">
        <v>29</v>
      </c>
      <c r="B30" t="s">
        <v>148</v>
      </c>
    </row>
    <row r="31" spans="1:2" x14ac:dyDescent="0.25">
      <c r="A31">
        <v>30</v>
      </c>
      <c r="B31" t="s">
        <v>149</v>
      </c>
    </row>
    <row r="32" spans="1:2" x14ac:dyDescent="0.25">
      <c r="A32">
        <v>31</v>
      </c>
      <c r="B32" t="s">
        <v>150</v>
      </c>
    </row>
    <row r="33" spans="1:2" x14ac:dyDescent="0.25">
      <c r="A33">
        <v>32</v>
      </c>
      <c r="B33" t="s">
        <v>151</v>
      </c>
    </row>
    <row r="34" spans="1:2" x14ac:dyDescent="0.25">
      <c r="A34">
        <v>33</v>
      </c>
      <c r="B34" t="s">
        <v>152</v>
      </c>
    </row>
    <row r="35" spans="1:2" x14ac:dyDescent="0.25">
      <c r="A35">
        <v>34</v>
      </c>
      <c r="B35" t="s">
        <v>153</v>
      </c>
    </row>
    <row r="36" spans="1:2" x14ac:dyDescent="0.25">
      <c r="A36">
        <v>35</v>
      </c>
      <c r="B36" t="s">
        <v>154</v>
      </c>
    </row>
    <row r="37" spans="1:2" x14ac:dyDescent="0.25">
      <c r="A37">
        <v>36</v>
      </c>
      <c r="B37" t="s">
        <v>155</v>
      </c>
    </row>
    <row r="38" spans="1:2" x14ac:dyDescent="0.25">
      <c r="A38">
        <v>37</v>
      </c>
      <c r="B38" t="s">
        <v>156</v>
      </c>
    </row>
    <row r="39" spans="1:2" x14ac:dyDescent="0.25">
      <c r="A39">
        <v>38</v>
      </c>
      <c r="B39" t="s">
        <v>157</v>
      </c>
    </row>
    <row r="40" spans="1:2" x14ac:dyDescent="0.25">
      <c r="A40">
        <v>39</v>
      </c>
      <c r="B40" t="s">
        <v>158</v>
      </c>
    </row>
    <row r="41" spans="1:2" x14ac:dyDescent="0.25">
      <c r="A41">
        <v>40</v>
      </c>
      <c r="B41" t="s">
        <v>159</v>
      </c>
    </row>
    <row r="42" spans="1:2" x14ac:dyDescent="0.25">
      <c r="A42">
        <v>41</v>
      </c>
      <c r="B42" t="s">
        <v>160</v>
      </c>
    </row>
    <row r="43" spans="1:2" x14ac:dyDescent="0.25">
      <c r="A43">
        <v>42</v>
      </c>
      <c r="B43" t="s">
        <v>161</v>
      </c>
    </row>
    <row r="44" spans="1:2" x14ac:dyDescent="0.25">
      <c r="A44">
        <v>43</v>
      </c>
      <c r="B44" t="s">
        <v>162</v>
      </c>
    </row>
    <row r="45" spans="1:2" x14ac:dyDescent="0.25">
      <c r="A45">
        <v>44</v>
      </c>
      <c r="B45" t="s">
        <v>163</v>
      </c>
    </row>
    <row r="46" spans="1:2" x14ac:dyDescent="0.25">
      <c r="A46">
        <v>45</v>
      </c>
      <c r="B46" t="s">
        <v>164</v>
      </c>
    </row>
    <row r="47" spans="1:2" x14ac:dyDescent="0.25">
      <c r="A47">
        <v>46</v>
      </c>
      <c r="B47" t="s">
        <v>165</v>
      </c>
    </row>
    <row r="48" spans="1:2" x14ac:dyDescent="0.25">
      <c r="A48">
        <v>47</v>
      </c>
      <c r="B48" t="s">
        <v>166</v>
      </c>
    </row>
    <row r="49" spans="1:2" x14ac:dyDescent="0.25">
      <c r="A49">
        <v>48</v>
      </c>
      <c r="B49" t="s">
        <v>167</v>
      </c>
    </row>
    <row r="50" spans="1:2" x14ac:dyDescent="0.25">
      <c r="A50">
        <v>49</v>
      </c>
      <c r="B50" t="s">
        <v>168</v>
      </c>
    </row>
    <row r="51" spans="1:2" x14ac:dyDescent="0.25">
      <c r="A51">
        <v>50</v>
      </c>
      <c r="B51" t="s">
        <v>169</v>
      </c>
    </row>
    <row r="52" spans="1:2" x14ac:dyDescent="0.25">
      <c r="A52">
        <v>51</v>
      </c>
      <c r="B52" t="s">
        <v>170</v>
      </c>
    </row>
    <row r="53" spans="1:2" x14ac:dyDescent="0.25">
      <c r="A53">
        <v>52</v>
      </c>
      <c r="B53" t="s">
        <v>171</v>
      </c>
    </row>
    <row r="54" spans="1:2" x14ac:dyDescent="0.25">
      <c r="A54">
        <v>53</v>
      </c>
      <c r="B54" t="s">
        <v>172</v>
      </c>
    </row>
    <row r="55" spans="1:2" x14ac:dyDescent="0.25">
      <c r="A55">
        <v>54</v>
      </c>
      <c r="B55" t="s">
        <v>173</v>
      </c>
    </row>
    <row r="56" spans="1:2" x14ac:dyDescent="0.25">
      <c r="A56">
        <v>55</v>
      </c>
      <c r="B56" t="s">
        <v>174</v>
      </c>
    </row>
    <row r="57" spans="1:2" x14ac:dyDescent="0.25">
      <c r="A57">
        <v>56</v>
      </c>
      <c r="B57" t="s">
        <v>175</v>
      </c>
    </row>
    <row r="58" spans="1:2" x14ac:dyDescent="0.25">
      <c r="A58">
        <v>57</v>
      </c>
      <c r="B58" t="s">
        <v>176</v>
      </c>
    </row>
    <row r="59" spans="1:2" x14ac:dyDescent="0.25">
      <c r="A59">
        <v>58</v>
      </c>
      <c r="B59" t="s">
        <v>177</v>
      </c>
    </row>
    <row r="60" spans="1:2" x14ac:dyDescent="0.25">
      <c r="A60">
        <v>59</v>
      </c>
      <c r="B60" t="s">
        <v>178</v>
      </c>
    </row>
    <row r="61" spans="1:2" x14ac:dyDescent="0.25">
      <c r="A61">
        <v>60</v>
      </c>
      <c r="B61" t="s">
        <v>179</v>
      </c>
    </row>
    <row r="62" spans="1:2" x14ac:dyDescent="0.25">
      <c r="A62">
        <v>61</v>
      </c>
      <c r="B62" t="s">
        <v>180</v>
      </c>
    </row>
    <row r="63" spans="1:2" x14ac:dyDescent="0.25">
      <c r="A63">
        <v>62</v>
      </c>
      <c r="B63" t="s">
        <v>181</v>
      </c>
    </row>
    <row r="64" spans="1:2" x14ac:dyDescent="0.25">
      <c r="A64">
        <v>63</v>
      </c>
      <c r="B64" t="s">
        <v>182</v>
      </c>
    </row>
    <row r="65" spans="1:2" x14ac:dyDescent="0.25">
      <c r="A65">
        <v>64</v>
      </c>
      <c r="B65" t="s">
        <v>183</v>
      </c>
    </row>
    <row r="66" spans="1:2" x14ac:dyDescent="0.25">
      <c r="A66">
        <v>65</v>
      </c>
      <c r="B66" t="s">
        <v>184</v>
      </c>
    </row>
    <row r="67" spans="1:2" x14ac:dyDescent="0.25">
      <c r="A67">
        <v>66</v>
      </c>
      <c r="B67" t="s">
        <v>185</v>
      </c>
    </row>
    <row r="68" spans="1:2" x14ac:dyDescent="0.25">
      <c r="A68">
        <v>67</v>
      </c>
      <c r="B68" t="s">
        <v>186</v>
      </c>
    </row>
    <row r="69" spans="1:2" x14ac:dyDescent="0.25">
      <c r="A69">
        <v>68</v>
      </c>
      <c r="B69" t="s">
        <v>187</v>
      </c>
    </row>
    <row r="70" spans="1:2" x14ac:dyDescent="0.25">
      <c r="A70">
        <v>69</v>
      </c>
      <c r="B70" t="s">
        <v>188</v>
      </c>
    </row>
    <row r="71" spans="1:2" x14ac:dyDescent="0.25">
      <c r="A71">
        <v>70</v>
      </c>
      <c r="B71" t="s">
        <v>189</v>
      </c>
    </row>
    <row r="72" spans="1:2" x14ac:dyDescent="0.25">
      <c r="A72">
        <v>71</v>
      </c>
      <c r="B72" t="s">
        <v>190</v>
      </c>
    </row>
    <row r="73" spans="1:2" x14ac:dyDescent="0.25">
      <c r="A73">
        <v>72</v>
      </c>
      <c r="B73" t="s">
        <v>191</v>
      </c>
    </row>
    <row r="74" spans="1:2" x14ac:dyDescent="0.25">
      <c r="A74">
        <v>73</v>
      </c>
      <c r="B74" t="s">
        <v>192</v>
      </c>
    </row>
    <row r="75" spans="1:2" x14ac:dyDescent="0.25">
      <c r="A75">
        <v>74</v>
      </c>
      <c r="B75" t="s">
        <v>193</v>
      </c>
    </row>
    <row r="76" spans="1:2" x14ac:dyDescent="0.25">
      <c r="A76">
        <v>75</v>
      </c>
      <c r="B76" t="s">
        <v>194</v>
      </c>
    </row>
    <row r="77" spans="1:2" x14ac:dyDescent="0.25">
      <c r="A77">
        <v>76</v>
      </c>
      <c r="B77" t="s">
        <v>195</v>
      </c>
    </row>
    <row r="78" spans="1:2" x14ac:dyDescent="0.25">
      <c r="A78">
        <v>77</v>
      </c>
      <c r="B78" t="s">
        <v>196</v>
      </c>
    </row>
    <row r="79" spans="1:2" x14ac:dyDescent="0.25">
      <c r="A79">
        <v>78</v>
      </c>
      <c r="B79" t="s">
        <v>197</v>
      </c>
    </row>
    <row r="80" spans="1:2" x14ac:dyDescent="0.25">
      <c r="A80">
        <v>79</v>
      </c>
      <c r="B80" t="s">
        <v>198</v>
      </c>
    </row>
    <row r="81" spans="1:2" x14ac:dyDescent="0.25">
      <c r="A81">
        <v>80</v>
      </c>
      <c r="B81" t="s">
        <v>199</v>
      </c>
    </row>
    <row r="82" spans="1:2" x14ac:dyDescent="0.25">
      <c r="A82">
        <v>81</v>
      </c>
      <c r="B82" t="s">
        <v>200</v>
      </c>
    </row>
    <row r="83" spans="1:2" x14ac:dyDescent="0.25">
      <c r="A83">
        <v>82</v>
      </c>
      <c r="B83" t="s">
        <v>201</v>
      </c>
    </row>
    <row r="84" spans="1:2" x14ac:dyDescent="0.25">
      <c r="A84">
        <v>83</v>
      </c>
      <c r="B84" t="s">
        <v>202</v>
      </c>
    </row>
    <row r="85" spans="1:2" x14ac:dyDescent="0.25">
      <c r="A85">
        <v>84</v>
      </c>
      <c r="B85" t="s">
        <v>203</v>
      </c>
    </row>
    <row r="86" spans="1:2" x14ac:dyDescent="0.25">
      <c r="A86">
        <v>85</v>
      </c>
      <c r="B86" t="s">
        <v>204</v>
      </c>
    </row>
    <row r="87" spans="1:2" x14ac:dyDescent="0.25">
      <c r="A87">
        <v>86</v>
      </c>
      <c r="B87" t="s">
        <v>205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9878-423C-41B2-AF40-DB85E4D54EBD}">
  <dimension ref="A1:F9"/>
  <sheetViews>
    <sheetView workbookViewId="0"/>
  </sheetViews>
  <sheetFormatPr defaultRowHeight="15" x14ac:dyDescent="0.25"/>
  <cols>
    <col min="1" max="1" width="28.7109375" bestFit="1" customWidth="1"/>
    <col min="2" max="2" width="55.7109375" bestFit="1" customWidth="1"/>
    <col min="3" max="3" width="16.5703125" bestFit="1" customWidth="1"/>
    <col min="4" max="4" width="18.28515625" bestFit="1" customWidth="1"/>
    <col min="5" max="5" width="15.85546875" bestFit="1" customWidth="1"/>
    <col min="6" max="6" width="20.140625" bestFit="1" customWidth="1"/>
  </cols>
  <sheetData>
    <row r="1" spans="1:6" x14ac:dyDescent="0.25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</row>
    <row r="2" spans="1:6" x14ac:dyDescent="0.25">
      <c r="A2" t="s">
        <v>74</v>
      </c>
      <c r="B2" t="s">
        <v>75</v>
      </c>
      <c r="C2">
        <v>1300</v>
      </c>
      <c r="D2">
        <v>70</v>
      </c>
      <c r="E2">
        <v>35</v>
      </c>
      <c r="F2">
        <v>200</v>
      </c>
    </row>
    <row r="3" spans="1:6" x14ac:dyDescent="0.25">
      <c r="A3" t="s">
        <v>212</v>
      </c>
      <c r="B3" t="s">
        <v>77</v>
      </c>
      <c r="C3">
        <v>4000</v>
      </c>
      <c r="D3">
        <v>350</v>
      </c>
      <c r="E3">
        <v>270</v>
      </c>
      <c r="F3">
        <v>300</v>
      </c>
    </row>
    <row r="4" spans="1:6" x14ac:dyDescent="0.25">
      <c r="A4" t="s">
        <v>213</v>
      </c>
      <c r="B4" t="s">
        <v>79</v>
      </c>
      <c r="C4">
        <v>2100</v>
      </c>
      <c r="D4">
        <v>50</v>
      </c>
      <c r="E4">
        <v>200</v>
      </c>
      <c r="F4">
        <v>180</v>
      </c>
    </row>
    <row r="5" spans="1:6" x14ac:dyDescent="0.25">
      <c r="A5" t="s">
        <v>214</v>
      </c>
      <c r="B5" t="s">
        <v>81</v>
      </c>
      <c r="C5">
        <v>1600</v>
      </c>
      <c r="D5">
        <v>250</v>
      </c>
      <c r="E5">
        <v>160</v>
      </c>
      <c r="F5">
        <v>150</v>
      </c>
    </row>
    <row r="6" spans="1:6" x14ac:dyDescent="0.25">
      <c r="A6" t="s">
        <v>215</v>
      </c>
      <c r="B6" t="s">
        <v>83</v>
      </c>
      <c r="C6">
        <v>2100</v>
      </c>
      <c r="D6">
        <v>70</v>
      </c>
      <c r="E6">
        <v>180</v>
      </c>
      <c r="F6">
        <v>200</v>
      </c>
    </row>
    <row r="7" spans="1:6" x14ac:dyDescent="0.25">
      <c r="A7" t="s">
        <v>216</v>
      </c>
      <c r="B7" t="s">
        <v>85</v>
      </c>
      <c r="C7">
        <v>2000</v>
      </c>
      <c r="D7">
        <v>200</v>
      </c>
      <c r="E7">
        <v>150</v>
      </c>
      <c r="F7">
        <v>180</v>
      </c>
    </row>
    <row r="8" spans="1:6" x14ac:dyDescent="0.25">
      <c r="A8" t="s">
        <v>217</v>
      </c>
      <c r="B8" t="s">
        <v>87</v>
      </c>
      <c r="C8">
        <v>1500</v>
      </c>
      <c r="D8">
        <v>100</v>
      </c>
      <c r="E8">
        <v>200</v>
      </c>
      <c r="F8">
        <v>100</v>
      </c>
    </row>
    <row r="9" spans="1:6" x14ac:dyDescent="0.25">
      <c r="A9" t="s">
        <v>218</v>
      </c>
      <c r="B9" t="s">
        <v>89</v>
      </c>
      <c r="C9">
        <v>3500</v>
      </c>
      <c r="D9">
        <v>300</v>
      </c>
      <c r="E9">
        <v>230</v>
      </c>
      <c r="F9">
        <v>200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F2015-06D5-48DE-891F-C41436F3E9D4}">
  <dimension ref="A1:G31"/>
  <sheetViews>
    <sheetView workbookViewId="0"/>
  </sheetViews>
  <sheetFormatPr defaultRowHeight="15" x14ac:dyDescent="0.25"/>
  <cols>
    <col min="1" max="1" width="10.140625" bestFit="1" customWidth="1"/>
    <col min="2" max="2" width="27.140625" bestFit="1" customWidth="1"/>
    <col min="3" max="4" width="9.85546875" bestFit="1" customWidth="1"/>
    <col min="5" max="5" width="12.7109375" bestFit="1" customWidth="1"/>
    <col min="6" max="6" width="6.42578125" bestFit="1" customWidth="1"/>
    <col min="7" max="7" width="10.140625" bestFit="1" customWidth="1"/>
  </cols>
  <sheetData>
    <row r="1" spans="1:7" x14ac:dyDescent="0.25">
      <c r="A1" t="s">
        <v>219</v>
      </c>
      <c r="B1" t="s">
        <v>0</v>
      </c>
      <c r="C1" t="s">
        <v>1</v>
      </c>
      <c r="D1" t="s">
        <v>98</v>
      </c>
      <c r="E1" t="s">
        <v>99</v>
      </c>
      <c r="F1" t="s">
        <v>100</v>
      </c>
      <c r="G1" t="s">
        <v>101</v>
      </c>
    </row>
    <row r="2" spans="1:7" x14ac:dyDescent="0.25">
      <c r="A2">
        <v>1</v>
      </c>
      <c r="B2" t="s">
        <v>8</v>
      </c>
      <c r="C2">
        <v>800</v>
      </c>
      <c r="D2">
        <v>580</v>
      </c>
      <c r="E2">
        <v>65</v>
      </c>
      <c r="F2">
        <v>22</v>
      </c>
      <c r="G2">
        <v>28</v>
      </c>
    </row>
    <row r="3" spans="1:7" x14ac:dyDescent="0.25">
      <c r="A3">
        <v>2</v>
      </c>
      <c r="B3" t="s">
        <v>10</v>
      </c>
      <c r="C3">
        <v>1100</v>
      </c>
      <c r="D3">
        <v>450</v>
      </c>
      <c r="E3">
        <v>45</v>
      </c>
      <c r="F3">
        <v>8</v>
      </c>
      <c r="G3">
        <v>42</v>
      </c>
    </row>
    <row r="4" spans="1:7" x14ac:dyDescent="0.25">
      <c r="A4">
        <v>3</v>
      </c>
      <c r="B4" t="s">
        <v>12</v>
      </c>
      <c r="C4">
        <v>700</v>
      </c>
      <c r="D4">
        <v>520</v>
      </c>
      <c r="E4">
        <v>48</v>
      </c>
      <c r="F4">
        <v>24</v>
      </c>
      <c r="G4">
        <v>26</v>
      </c>
    </row>
    <row r="5" spans="1:7" x14ac:dyDescent="0.25">
      <c r="A5">
        <v>4</v>
      </c>
      <c r="B5" t="s">
        <v>14</v>
      </c>
      <c r="C5">
        <v>500</v>
      </c>
      <c r="D5">
        <v>410</v>
      </c>
      <c r="E5">
        <v>38</v>
      </c>
      <c r="F5">
        <v>18</v>
      </c>
      <c r="G5">
        <v>22</v>
      </c>
    </row>
    <row r="6" spans="1:7" x14ac:dyDescent="0.25">
      <c r="A6">
        <v>5</v>
      </c>
      <c r="B6" t="s">
        <v>16</v>
      </c>
      <c r="C6">
        <v>1500</v>
      </c>
      <c r="D6">
        <v>720</v>
      </c>
      <c r="E6">
        <v>60</v>
      </c>
      <c r="F6">
        <v>35</v>
      </c>
      <c r="G6">
        <v>38</v>
      </c>
    </row>
    <row r="7" spans="1:7" x14ac:dyDescent="0.25">
      <c r="A7">
        <v>6</v>
      </c>
      <c r="B7" t="s">
        <v>18</v>
      </c>
      <c r="C7">
        <v>1700</v>
      </c>
      <c r="D7">
        <v>380</v>
      </c>
      <c r="E7">
        <v>12</v>
      </c>
      <c r="F7">
        <v>22</v>
      </c>
      <c r="G7">
        <v>32</v>
      </c>
    </row>
    <row r="8" spans="1:7" x14ac:dyDescent="0.25">
      <c r="A8">
        <v>7</v>
      </c>
      <c r="B8" t="s">
        <v>20</v>
      </c>
      <c r="C8">
        <v>400</v>
      </c>
      <c r="D8">
        <v>550</v>
      </c>
      <c r="E8">
        <v>72</v>
      </c>
      <c r="F8">
        <v>18</v>
      </c>
      <c r="G8">
        <v>20</v>
      </c>
    </row>
    <row r="9" spans="1:7" x14ac:dyDescent="0.25">
      <c r="A9">
        <v>8</v>
      </c>
      <c r="B9" t="s">
        <v>22</v>
      </c>
      <c r="C9">
        <v>800</v>
      </c>
      <c r="D9">
        <v>680</v>
      </c>
      <c r="E9">
        <v>42</v>
      </c>
      <c r="F9">
        <v>45</v>
      </c>
      <c r="G9">
        <v>28</v>
      </c>
    </row>
    <row r="10" spans="1:7" x14ac:dyDescent="0.25">
      <c r="A10">
        <v>9</v>
      </c>
      <c r="B10" t="s">
        <v>24</v>
      </c>
      <c r="C10">
        <v>450</v>
      </c>
      <c r="D10">
        <v>180</v>
      </c>
      <c r="E10">
        <v>25</v>
      </c>
      <c r="F10">
        <v>6</v>
      </c>
      <c r="G10">
        <v>5</v>
      </c>
    </row>
    <row r="11" spans="1:7" x14ac:dyDescent="0.25">
      <c r="A11">
        <v>10</v>
      </c>
      <c r="B11" t="s">
        <v>26</v>
      </c>
      <c r="C11">
        <v>800</v>
      </c>
      <c r="D11">
        <v>450</v>
      </c>
      <c r="E11">
        <v>30</v>
      </c>
      <c r="F11">
        <v>25</v>
      </c>
      <c r="G11">
        <v>24</v>
      </c>
    </row>
    <row r="12" spans="1:7" x14ac:dyDescent="0.25">
      <c r="A12">
        <v>11</v>
      </c>
      <c r="B12" t="s">
        <v>28</v>
      </c>
      <c r="C12">
        <v>700</v>
      </c>
      <c r="D12">
        <v>620</v>
      </c>
      <c r="E12">
        <v>58</v>
      </c>
      <c r="F12">
        <v>32</v>
      </c>
      <c r="G12">
        <v>24</v>
      </c>
    </row>
    <row r="13" spans="1:7" x14ac:dyDescent="0.25">
      <c r="A13">
        <v>12</v>
      </c>
      <c r="B13" t="s">
        <v>30</v>
      </c>
      <c r="C13">
        <v>1050</v>
      </c>
      <c r="D13">
        <v>850</v>
      </c>
      <c r="E13">
        <v>75</v>
      </c>
      <c r="F13">
        <v>48</v>
      </c>
      <c r="G13">
        <v>28</v>
      </c>
    </row>
    <row r="14" spans="1:7" x14ac:dyDescent="0.25">
      <c r="A14">
        <v>13</v>
      </c>
      <c r="B14" t="s">
        <v>32</v>
      </c>
      <c r="C14">
        <v>550</v>
      </c>
      <c r="D14">
        <v>380</v>
      </c>
      <c r="E14">
        <v>45</v>
      </c>
      <c r="F14">
        <v>18</v>
      </c>
      <c r="G14">
        <v>10</v>
      </c>
    </row>
    <row r="15" spans="1:7" x14ac:dyDescent="0.25">
      <c r="A15">
        <v>14</v>
      </c>
      <c r="B15" t="s">
        <v>34</v>
      </c>
      <c r="C15">
        <v>1300</v>
      </c>
      <c r="D15">
        <v>640</v>
      </c>
      <c r="E15">
        <v>62</v>
      </c>
      <c r="F15">
        <v>34</v>
      </c>
      <c r="G15">
        <v>22</v>
      </c>
    </row>
    <row r="16" spans="1:7" x14ac:dyDescent="0.25">
      <c r="A16">
        <v>15</v>
      </c>
      <c r="B16" t="s">
        <v>36</v>
      </c>
      <c r="C16">
        <v>1200</v>
      </c>
      <c r="D16">
        <v>510</v>
      </c>
      <c r="E16">
        <v>35</v>
      </c>
      <c r="F16">
        <v>22</v>
      </c>
      <c r="G16">
        <v>38</v>
      </c>
    </row>
    <row r="17" spans="1:7" x14ac:dyDescent="0.25">
      <c r="A17">
        <v>16</v>
      </c>
      <c r="B17" t="s">
        <v>38</v>
      </c>
      <c r="C17">
        <v>1100</v>
      </c>
      <c r="D17">
        <v>710</v>
      </c>
      <c r="E17">
        <v>48</v>
      </c>
      <c r="F17">
        <v>42</v>
      </c>
      <c r="G17">
        <v>32</v>
      </c>
    </row>
    <row r="18" spans="1:7" x14ac:dyDescent="0.25">
      <c r="A18">
        <v>17</v>
      </c>
      <c r="B18" t="s">
        <v>40</v>
      </c>
      <c r="C18">
        <v>900</v>
      </c>
      <c r="D18">
        <v>280</v>
      </c>
      <c r="E18">
        <v>10</v>
      </c>
      <c r="F18">
        <v>22</v>
      </c>
      <c r="G18">
        <v>8</v>
      </c>
    </row>
    <row r="19" spans="1:7" x14ac:dyDescent="0.25">
      <c r="A19">
        <v>18</v>
      </c>
      <c r="B19" t="s">
        <v>42</v>
      </c>
      <c r="C19">
        <v>1050</v>
      </c>
      <c r="D19">
        <v>420</v>
      </c>
      <c r="E19">
        <v>15</v>
      </c>
      <c r="F19">
        <v>25</v>
      </c>
      <c r="G19">
        <v>34</v>
      </c>
    </row>
    <row r="20" spans="1:7" x14ac:dyDescent="0.25">
      <c r="A20">
        <v>19</v>
      </c>
      <c r="B20" t="s">
        <v>44</v>
      </c>
      <c r="C20">
        <v>900</v>
      </c>
      <c r="D20">
        <v>480</v>
      </c>
      <c r="E20">
        <v>18</v>
      </c>
      <c r="F20">
        <v>32</v>
      </c>
      <c r="G20">
        <v>26</v>
      </c>
    </row>
    <row r="21" spans="1:7" x14ac:dyDescent="0.25">
      <c r="A21">
        <v>20</v>
      </c>
      <c r="B21" t="s">
        <v>46</v>
      </c>
      <c r="C21">
        <v>350</v>
      </c>
      <c r="D21">
        <v>320</v>
      </c>
      <c r="E21">
        <v>42</v>
      </c>
      <c r="F21">
        <v>10</v>
      </c>
      <c r="G21">
        <v>14</v>
      </c>
    </row>
    <row r="22" spans="1:7" x14ac:dyDescent="0.25">
      <c r="A22">
        <v>21</v>
      </c>
      <c r="B22" t="s">
        <v>48</v>
      </c>
      <c r="C22">
        <v>1100</v>
      </c>
      <c r="D22">
        <v>530</v>
      </c>
      <c r="E22">
        <v>68</v>
      </c>
      <c r="F22">
        <v>15</v>
      </c>
      <c r="G22">
        <v>28</v>
      </c>
    </row>
    <row r="23" spans="1:7" x14ac:dyDescent="0.25">
      <c r="A23">
        <v>22</v>
      </c>
      <c r="B23" t="s">
        <v>50</v>
      </c>
      <c r="C23">
        <v>650</v>
      </c>
      <c r="D23">
        <v>210</v>
      </c>
      <c r="E23">
        <v>18</v>
      </c>
      <c r="F23">
        <v>8</v>
      </c>
      <c r="G23">
        <v>16</v>
      </c>
    </row>
    <row r="24" spans="1:7" x14ac:dyDescent="0.25">
      <c r="A24">
        <v>23</v>
      </c>
      <c r="B24" t="s">
        <v>52</v>
      </c>
      <c r="C24">
        <v>950</v>
      </c>
      <c r="D24">
        <v>540</v>
      </c>
      <c r="E24">
        <v>15</v>
      </c>
      <c r="F24">
        <v>38</v>
      </c>
      <c r="G24">
        <v>28</v>
      </c>
    </row>
    <row r="25" spans="1:7" x14ac:dyDescent="0.25">
      <c r="A25">
        <v>24</v>
      </c>
      <c r="B25" t="s">
        <v>54</v>
      </c>
      <c r="C25">
        <v>1300</v>
      </c>
      <c r="D25">
        <v>820</v>
      </c>
      <c r="E25">
        <v>78</v>
      </c>
      <c r="F25">
        <v>38</v>
      </c>
      <c r="G25">
        <v>36</v>
      </c>
    </row>
    <row r="26" spans="1:7" x14ac:dyDescent="0.25">
      <c r="A26">
        <v>25</v>
      </c>
      <c r="B26" t="s">
        <v>56</v>
      </c>
      <c r="C26">
        <v>800</v>
      </c>
      <c r="D26">
        <v>460</v>
      </c>
      <c r="E26">
        <v>42</v>
      </c>
      <c r="F26">
        <v>20</v>
      </c>
      <c r="G26">
        <v>24</v>
      </c>
    </row>
    <row r="27" spans="1:7" x14ac:dyDescent="0.25">
      <c r="A27">
        <v>26</v>
      </c>
      <c r="B27" t="s">
        <v>58</v>
      </c>
      <c r="C27">
        <v>1800</v>
      </c>
      <c r="D27">
        <v>410</v>
      </c>
      <c r="E27">
        <v>8</v>
      </c>
      <c r="F27">
        <v>28</v>
      </c>
      <c r="G27">
        <v>32</v>
      </c>
    </row>
    <row r="28" spans="1:7" x14ac:dyDescent="0.25">
      <c r="A28">
        <v>27</v>
      </c>
      <c r="B28" t="s">
        <v>60</v>
      </c>
      <c r="C28">
        <v>400</v>
      </c>
      <c r="D28">
        <v>310</v>
      </c>
      <c r="E28">
        <v>15</v>
      </c>
      <c r="F28">
        <v>22</v>
      </c>
      <c r="G28">
        <v>14</v>
      </c>
    </row>
    <row r="29" spans="1:7" x14ac:dyDescent="0.25">
      <c r="A29">
        <v>28</v>
      </c>
      <c r="B29" t="s">
        <v>62</v>
      </c>
      <c r="C29">
        <v>550</v>
      </c>
      <c r="D29">
        <v>520</v>
      </c>
      <c r="E29">
        <v>55</v>
      </c>
      <c r="F29">
        <v>18</v>
      </c>
      <c r="G29">
        <v>28</v>
      </c>
    </row>
    <row r="30" spans="1:7" x14ac:dyDescent="0.25">
      <c r="A30">
        <v>29</v>
      </c>
      <c r="B30" t="s">
        <v>64</v>
      </c>
      <c r="C30">
        <v>650</v>
      </c>
      <c r="D30">
        <v>590</v>
      </c>
      <c r="E30">
        <v>85</v>
      </c>
      <c r="F30">
        <v>18</v>
      </c>
      <c r="G30">
        <v>16</v>
      </c>
    </row>
    <row r="31" spans="1:7" x14ac:dyDescent="0.25">
      <c r="A31">
        <v>30</v>
      </c>
      <c r="B31" t="s">
        <v>66</v>
      </c>
      <c r="C31">
        <v>750</v>
      </c>
      <c r="D31">
        <v>490</v>
      </c>
      <c r="E31">
        <v>68</v>
      </c>
      <c r="F31">
        <v>16</v>
      </c>
      <c r="G31">
        <v>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5001-DCA0-4C70-838A-AD5DB58F4587}">
  <dimension ref="A1:C41"/>
  <sheetViews>
    <sheetView workbookViewId="0"/>
  </sheetViews>
  <sheetFormatPr defaultRowHeight="15" x14ac:dyDescent="0.25"/>
  <cols>
    <col min="1" max="1" width="24.5703125" bestFit="1" customWidth="1"/>
    <col min="2" max="2" width="9.5703125" bestFit="1" customWidth="1"/>
    <col min="3" max="3" width="25.140625" bestFit="1" customWidth="1"/>
  </cols>
  <sheetData>
    <row r="1" spans="1:3" x14ac:dyDescent="0.25">
      <c r="A1" t="s">
        <v>220</v>
      </c>
      <c r="B1" t="s">
        <v>97</v>
      </c>
      <c r="C1" t="s">
        <v>96</v>
      </c>
    </row>
    <row r="2" spans="1:3" x14ac:dyDescent="0.25">
      <c r="A2" t="s">
        <v>221</v>
      </c>
      <c r="B2" t="s">
        <v>103</v>
      </c>
      <c r="C2" t="s">
        <v>30</v>
      </c>
    </row>
    <row r="3" spans="1:3" x14ac:dyDescent="0.25">
      <c r="A3" t="s">
        <v>221</v>
      </c>
      <c r="B3" t="s">
        <v>104</v>
      </c>
      <c r="C3" t="s">
        <v>54</v>
      </c>
    </row>
    <row r="4" spans="1:3" x14ac:dyDescent="0.25">
      <c r="A4" t="s">
        <v>221</v>
      </c>
      <c r="B4" t="s">
        <v>105</v>
      </c>
      <c r="C4" t="s">
        <v>16</v>
      </c>
    </row>
    <row r="5" spans="1:3" x14ac:dyDescent="0.25">
      <c r="A5" t="s">
        <v>221</v>
      </c>
      <c r="B5" t="s">
        <v>106</v>
      </c>
      <c r="C5" t="s">
        <v>28</v>
      </c>
    </row>
    <row r="6" spans="1:3" x14ac:dyDescent="0.25">
      <c r="A6" t="s">
        <v>221</v>
      </c>
      <c r="B6" t="s">
        <v>107</v>
      </c>
      <c r="C6" t="s">
        <v>8</v>
      </c>
    </row>
    <row r="7" spans="1:3" x14ac:dyDescent="0.25">
      <c r="A7" t="s">
        <v>222</v>
      </c>
      <c r="B7" t="s">
        <v>103</v>
      </c>
      <c r="C7" t="s">
        <v>30</v>
      </c>
    </row>
    <row r="8" spans="1:3" x14ac:dyDescent="0.25">
      <c r="A8" t="s">
        <v>222</v>
      </c>
      <c r="B8" t="s">
        <v>104</v>
      </c>
      <c r="C8" t="s">
        <v>54</v>
      </c>
    </row>
    <row r="9" spans="1:3" x14ac:dyDescent="0.25">
      <c r="A9" t="s">
        <v>222</v>
      </c>
      <c r="B9" t="s">
        <v>105</v>
      </c>
      <c r="C9" t="s">
        <v>16</v>
      </c>
    </row>
    <row r="10" spans="1:3" x14ac:dyDescent="0.25">
      <c r="A10" t="s">
        <v>222</v>
      </c>
      <c r="B10" t="s">
        <v>106</v>
      </c>
      <c r="C10" t="s">
        <v>38</v>
      </c>
    </row>
    <row r="11" spans="1:3" x14ac:dyDescent="0.25">
      <c r="A11" t="s">
        <v>222</v>
      </c>
      <c r="B11" t="s">
        <v>107</v>
      </c>
      <c r="C11" t="s">
        <v>22</v>
      </c>
    </row>
    <row r="12" spans="1:3" x14ac:dyDescent="0.25">
      <c r="A12" t="s">
        <v>78</v>
      </c>
      <c r="B12" t="s">
        <v>103</v>
      </c>
      <c r="C12" t="s">
        <v>30</v>
      </c>
    </row>
    <row r="13" spans="1:3" x14ac:dyDescent="0.25">
      <c r="A13" t="s">
        <v>78</v>
      </c>
      <c r="B13" t="s">
        <v>104</v>
      </c>
      <c r="C13" t="s">
        <v>16</v>
      </c>
    </row>
    <row r="14" spans="1:3" x14ac:dyDescent="0.25">
      <c r="A14" t="s">
        <v>78</v>
      </c>
      <c r="B14" t="s">
        <v>105</v>
      </c>
      <c r="C14" t="s">
        <v>38</v>
      </c>
    </row>
    <row r="15" spans="1:3" x14ac:dyDescent="0.25">
      <c r="A15" t="s">
        <v>78</v>
      </c>
      <c r="B15" t="s">
        <v>106</v>
      </c>
      <c r="C15" t="s">
        <v>22</v>
      </c>
    </row>
    <row r="16" spans="1:3" x14ac:dyDescent="0.25">
      <c r="A16" t="s">
        <v>78</v>
      </c>
      <c r="B16" t="s">
        <v>107</v>
      </c>
      <c r="C16" t="s">
        <v>52</v>
      </c>
    </row>
    <row r="17" spans="1:3" x14ac:dyDescent="0.25">
      <c r="A17" t="s">
        <v>80</v>
      </c>
      <c r="B17" t="s">
        <v>103</v>
      </c>
      <c r="C17" t="s">
        <v>30</v>
      </c>
    </row>
    <row r="18" spans="1:3" x14ac:dyDescent="0.25">
      <c r="A18" t="s">
        <v>80</v>
      </c>
      <c r="B18" t="s">
        <v>104</v>
      </c>
      <c r="C18" t="s">
        <v>54</v>
      </c>
    </row>
    <row r="19" spans="1:3" x14ac:dyDescent="0.25">
      <c r="A19" t="s">
        <v>80</v>
      </c>
      <c r="B19" t="s">
        <v>105</v>
      </c>
      <c r="C19" t="s">
        <v>16</v>
      </c>
    </row>
    <row r="20" spans="1:3" x14ac:dyDescent="0.25">
      <c r="A20" t="s">
        <v>80</v>
      </c>
      <c r="B20" t="s">
        <v>106</v>
      </c>
      <c r="C20" t="s">
        <v>38</v>
      </c>
    </row>
    <row r="21" spans="1:3" x14ac:dyDescent="0.25">
      <c r="A21" t="s">
        <v>80</v>
      </c>
      <c r="B21" t="s">
        <v>107</v>
      </c>
      <c r="C21" t="s">
        <v>22</v>
      </c>
    </row>
    <row r="22" spans="1:3" x14ac:dyDescent="0.25">
      <c r="A22" t="s">
        <v>223</v>
      </c>
      <c r="B22" t="s">
        <v>103</v>
      </c>
      <c r="C22" t="s">
        <v>30</v>
      </c>
    </row>
    <row r="23" spans="1:3" x14ac:dyDescent="0.25">
      <c r="A23" t="s">
        <v>223</v>
      </c>
      <c r="B23" t="s">
        <v>104</v>
      </c>
      <c r="C23" t="s">
        <v>54</v>
      </c>
    </row>
    <row r="24" spans="1:3" x14ac:dyDescent="0.25">
      <c r="A24" t="s">
        <v>223</v>
      </c>
      <c r="B24" t="s">
        <v>105</v>
      </c>
      <c r="C24" t="s">
        <v>16</v>
      </c>
    </row>
    <row r="25" spans="1:3" x14ac:dyDescent="0.25">
      <c r="A25" t="s">
        <v>223</v>
      </c>
      <c r="B25" t="s">
        <v>106</v>
      </c>
      <c r="C25" t="s">
        <v>38</v>
      </c>
    </row>
    <row r="26" spans="1:3" x14ac:dyDescent="0.25">
      <c r="A26" t="s">
        <v>223</v>
      </c>
      <c r="B26" t="s">
        <v>107</v>
      </c>
      <c r="C26" t="s">
        <v>22</v>
      </c>
    </row>
    <row r="27" spans="1:3" x14ac:dyDescent="0.25">
      <c r="A27" t="s">
        <v>224</v>
      </c>
      <c r="B27" t="s">
        <v>103</v>
      </c>
      <c r="C27" t="s">
        <v>30</v>
      </c>
    </row>
    <row r="28" spans="1:3" x14ac:dyDescent="0.25">
      <c r="A28" t="s">
        <v>224</v>
      </c>
      <c r="B28" t="s">
        <v>104</v>
      </c>
      <c r="C28" t="s">
        <v>54</v>
      </c>
    </row>
    <row r="29" spans="1:3" x14ac:dyDescent="0.25">
      <c r="A29" t="s">
        <v>224</v>
      </c>
      <c r="B29" t="s">
        <v>105</v>
      </c>
      <c r="C29" t="s">
        <v>16</v>
      </c>
    </row>
    <row r="30" spans="1:3" x14ac:dyDescent="0.25">
      <c r="A30" t="s">
        <v>224</v>
      </c>
      <c r="B30" t="s">
        <v>106</v>
      </c>
      <c r="C30" t="s">
        <v>38</v>
      </c>
    </row>
    <row r="31" spans="1:3" x14ac:dyDescent="0.25">
      <c r="A31" t="s">
        <v>224</v>
      </c>
      <c r="B31" t="s">
        <v>107</v>
      </c>
      <c r="C31" t="s">
        <v>22</v>
      </c>
    </row>
    <row r="32" spans="1:3" x14ac:dyDescent="0.25">
      <c r="A32" t="s">
        <v>225</v>
      </c>
      <c r="B32" t="s">
        <v>103</v>
      </c>
      <c r="C32" t="s">
        <v>30</v>
      </c>
    </row>
    <row r="33" spans="1:3" x14ac:dyDescent="0.25">
      <c r="A33" t="s">
        <v>225</v>
      </c>
      <c r="B33" t="s">
        <v>104</v>
      </c>
      <c r="C33" t="s">
        <v>54</v>
      </c>
    </row>
    <row r="34" spans="1:3" x14ac:dyDescent="0.25">
      <c r="A34" t="s">
        <v>225</v>
      </c>
      <c r="B34" t="s">
        <v>105</v>
      </c>
      <c r="C34" t="s">
        <v>16</v>
      </c>
    </row>
    <row r="35" spans="1:3" x14ac:dyDescent="0.25">
      <c r="A35" t="s">
        <v>225</v>
      </c>
      <c r="B35" t="s">
        <v>106</v>
      </c>
      <c r="C35" t="s">
        <v>38</v>
      </c>
    </row>
    <row r="36" spans="1:3" x14ac:dyDescent="0.25">
      <c r="A36" t="s">
        <v>225</v>
      </c>
      <c r="B36" t="s">
        <v>107</v>
      </c>
      <c r="C36" t="s">
        <v>22</v>
      </c>
    </row>
    <row r="37" spans="1:3" x14ac:dyDescent="0.25">
      <c r="A37" t="s">
        <v>88</v>
      </c>
      <c r="B37" t="s">
        <v>103</v>
      </c>
      <c r="C37" t="s">
        <v>30</v>
      </c>
    </row>
    <row r="38" spans="1:3" x14ac:dyDescent="0.25">
      <c r="A38" t="s">
        <v>88</v>
      </c>
      <c r="B38" t="s">
        <v>104</v>
      </c>
      <c r="C38" t="s">
        <v>54</v>
      </c>
    </row>
    <row r="39" spans="1:3" x14ac:dyDescent="0.25">
      <c r="A39" t="s">
        <v>88</v>
      </c>
      <c r="B39" t="s">
        <v>105</v>
      </c>
      <c r="C39" t="s">
        <v>16</v>
      </c>
    </row>
    <row r="40" spans="1:3" x14ac:dyDescent="0.25">
      <c r="A40" t="s">
        <v>88</v>
      </c>
      <c r="B40" t="s">
        <v>106</v>
      </c>
      <c r="C40" t="s">
        <v>38</v>
      </c>
    </row>
    <row r="41" spans="1:3" x14ac:dyDescent="0.25">
      <c r="A41" t="s">
        <v>88</v>
      </c>
      <c r="B41" t="s">
        <v>107</v>
      </c>
      <c r="C41" t="s">
        <v>22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0974-7ED4-48D6-A11F-094BBD46720E}">
  <dimension ref="A1:C121"/>
  <sheetViews>
    <sheetView workbookViewId="0"/>
  </sheetViews>
  <sheetFormatPr defaultRowHeight="15" x14ac:dyDescent="0.25"/>
  <cols>
    <col min="1" max="2" width="7.7109375" bestFit="1" customWidth="1"/>
    <col min="3" max="3" width="7.5703125" bestFit="1" customWidth="1"/>
  </cols>
  <sheetData>
    <row r="1" spans="1:3" x14ac:dyDescent="0.25">
      <c r="A1" t="s">
        <v>226</v>
      </c>
      <c r="B1" t="s">
        <v>227</v>
      </c>
      <c r="C1" t="s">
        <v>228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2</v>
      </c>
      <c r="C3">
        <v>2</v>
      </c>
    </row>
    <row r="4" spans="1:3" x14ac:dyDescent="0.25">
      <c r="A4">
        <v>1</v>
      </c>
      <c r="B4">
        <v>3</v>
      </c>
      <c r="C4">
        <v>3</v>
      </c>
    </row>
    <row r="5" spans="1:3" x14ac:dyDescent="0.25">
      <c r="A5">
        <v>1</v>
      </c>
      <c r="B5">
        <v>4</v>
      </c>
      <c r="C5">
        <v>3</v>
      </c>
    </row>
    <row r="6" spans="1:3" x14ac:dyDescent="0.25">
      <c r="A6">
        <v>2</v>
      </c>
      <c r="B6">
        <v>5</v>
      </c>
      <c r="C6">
        <v>1</v>
      </c>
    </row>
    <row r="7" spans="1:3" x14ac:dyDescent="0.25">
      <c r="A7">
        <v>2</v>
      </c>
      <c r="B7">
        <v>6</v>
      </c>
      <c r="C7">
        <v>2</v>
      </c>
    </row>
    <row r="8" spans="1:3" x14ac:dyDescent="0.25">
      <c r="A8">
        <v>2</v>
      </c>
      <c r="B8">
        <v>7</v>
      </c>
      <c r="C8">
        <v>4</v>
      </c>
    </row>
    <row r="9" spans="1:3" x14ac:dyDescent="0.25">
      <c r="A9">
        <v>2</v>
      </c>
      <c r="B9">
        <v>8</v>
      </c>
      <c r="C9">
        <v>3</v>
      </c>
    </row>
    <row r="10" spans="1:3" x14ac:dyDescent="0.25">
      <c r="A10">
        <v>3</v>
      </c>
      <c r="B10">
        <v>9</v>
      </c>
      <c r="C10">
        <v>1</v>
      </c>
    </row>
    <row r="11" spans="1:3" x14ac:dyDescent="0.25">
      <c r="A11">
        <v>3</v>
      </c>
      <c r="B11">
        <v>10</v>
      </c>
      <c r="C11">
        <v>3</v>
      </c>
    </row>
    <row r="12" spans="1:3" x14ac:dyDescent="0.25">
      <c r="A12">
        <v>3</v>
      </c>
      <c r="B12">
        <v>11</v>
      </c>
      <c r="C12">
        <v>3</v>
      </c>
    </row>
    <row r="13" spans="1:3" x14ac:dyDescent="0.25">
      <c r="A13">
        <v>3</v>
      </c>
      <c r="B13">
        <v>12</v>
      </c>
      <c r="C13">
        <v>5</v>
      </c>
    </row>
    <row r="14" spans="1:3" x14ac:dyDescent="0.25">
      <c r="A14">
        <v>4</v>
      </c>
      <c r="B14">
        <v>13</v>
      </c>
      <c r="C14">
        <v>6</v>
      </c>
    </row>
    <row r="15" spans="1:3" x14ac:dyDescent="0.25">
      <c r="A15">
        <v>4</v>
      </c>
      <c r="B15">
        <v>14</v>
      </c>
      <c r="C15">
        <v>7</v>
      </c>
    </row>
    <row r="16" spans="1:3" x14ac:dyDescent="0.25">
      <c r="A16">
        <v>4</v>
      </c>
      <c r="B16">
        <v>15</v>
      </c>
      <c r="C16">
        <v>8</v>
      </c>
    </row>
    <row r="17" spans="1:3" x14ac:dyDescent="0.25">
      <c r="A17">
        <v>4</v>
      </c>
      <c r="B17">
        <v>16</v>
      </c>
      <c r="C17">
        <v>9</v>
      </c>
    </row>
    <row r="18" spans="1:3" x14ac:dyDescent="0.25">
      <c r="A18">
        <v>5</v>
      </c>
      <c r="B18">
        <v>17</v>
      </c>
      <c r="C18">
        <v>1</v>
      </c>
    </row>
    <row r="19" spans="1:3" x14ac:dyDescent="0.25">
      <c r="A19">
        <v>5</v>
      </c>
      <c r="B19">
        <v>18</v>
      </c>
      <c r="C19">
        <v>2</v>
      </c>
    </row>
    <row r="20" spans="1:3" x14ac:dyDescent="0.25">
      <c r="A20">
        <v>5</v>
      </c>
      <c r="B20">
        <v>12</v>
      </c>
      <c r="C20">
        <v>5</v>
      </c>
    </row>
    <row r="21" spans="1:3" x14ac:dyDescent="0.25">
      <c r="A21">
        <v>5</v>
      </c>
      <c r="B21">
        <v>19</v>
      </c>
      <c r="C21">
        <v>9</v>
      </c>
    </row>
    <row r="22" spans="1:3" x14ac:dyDescent="0.25">
      <c r="A22">
        <v>6</v>
      </c>
      <c r="B22">
        <v>20</v>
      </c>
      <c r="C22">
        <v>3</v>
      </c>
    </row>
    <row r="23" spans="1:3" x14ac:dyDescent="0.25">
      <c r="A23">
        <v>6</v>
      </c>
      <c r="B23">
        <v>5</v>
      </c>
      <c r="C23">
        <v>1</v>
      </c>
    </row>
    <row r="24" spans="1:3" x14ac:dyDescent="0.25">
      <c r="A24">
        <v>6</v>
      </c>
      <c r="B24">
        <v>21</v>
      </c>
      <c r="C24">
        <v>8</v>
      </c>
    </row>
    <row r="25" spans="1:3" x14ac:dyDescent="0.25">
      <c r="A25">
        <v>6</v>
      </c>
      <c r="B25">
        <v>22</v>
      </c>
      <c r="C25">
        <v>10</v>
      </c>
    </row>
    <row r="26" spans="1:3" x14ac:dyDescent="0.25">
      <c r="A26">
        <v>7</v>
      </c>
      <c r="B26">
        <v>18</v>
      </c>
      <c r="C26">
        <v>2</v>
      </c>
    </row>
    <row r="27" spans="1:3" x14ac:dyDescent="0.25">
      <c r="A27">
        <v>7</v>
      </c>
      <c r="B27">
        <v>12</v>
      </c>
      <c r="C27">
        <v>5</v>
      </c>
    </row>
    <row r="28" spans="1:3" x14ac:dyDescent="0.25">
      <c r="A28">
        <v>7</v>
      </c>
      <c r="B28">
        <v>23</v>
      </c>
      <c r="C28">
        <v>4</v>
      </c>
    </row>
    <row r="29" spans="1:3" x14ac:dyDescent="0.25">
      <c r="A29">
        <v>7</v>
      </c>
      <c r="B29">
        <v>24</v>
      </c>
      <c r="C29">
        <v>3</v>
      </c>
    </row>
    <row r="30" spans="1:3" x14ac:dyDescent="0.25">
      <c r="A30">
        <v>8</v>
      </c>
      <c r="B30">
        <v>25</v>
      </c>
      <c r="C30">
        <v>3</v>
      </c>
    </row>
    <row r="31" spans="1:3" x14ac:dyDescent="0.25">
      <c r="A31">
        <v>8</v>
      </c>
      <c r="B31">
        <v>12</v>
      </c>
      <c r="C31">
        <v>5</v>
      </c>
    </row>
    <row r="32" spans="1:3" x14ac:dyDescent="0.25">
      <c r="A32">
        <v>8</v>
      </c>
      <c r="B32">
        <v>26</v>
      </c>
      <c r="C32">
        <v>7</v>
      </c>
    </row>
    <row r="33" spans="1:3" x14ac:dyDescent="0.25">
      <c r="A33">
        <v>8</v>
      </c>
      <c r="B33">
        <v>15</v>
      </c>
      <c r="C33">
        <v>8</v>
      </c>
    </row>
    <row r="34" spans="1:3" x14ac:dyDescent="0.25">
      <c r="A34">
        <v>9</v>
      </c>
      <c r="B34">
        <v>27</v>
      </c>
      <c r="C34">
        <v>3</v>
      </c>
    </row>
    <row r="35" spans="1:3" x14ac:dyDescent="0.25">
      <c r="A35">
        <v>9</v>
      </c>
      <c r="B35">
        <v>28</v>
      </c>
      <c r="C35">
        <v>3</v>
      </c>
    </row>
    <row r="36" spans="1:3" x14ac:dyDescent="0.25">
      <c r="A36">
        <v>9</v>
      </c>
      <c r="B36">
        <v>29</v>
      </c>
      <c r="C36">
        <v>3</v>
      </c>
    </row>
    <row r="37" spans="1:3" x14ac:dyDescent="0.25">
      <c r="A37">
        <v>9</v>
      </c>
      <c r="B37">
        <v>30</v>
      </c>
      <c r="C37">
        <v>2</v>
      </c>
    </row>
    <row r="38" spans="1:3" x14ac:dyDescent="0.25">
      <c r="A38">
        <v>10</v>
      </c>
      <c r="B38">
        <v>31</v>
      </c>
      <c r="C38">
        <v>1</v>
      </c>
    </row>
    <row r="39" spans="1:3" x14ac:dyDescent="0.25">
      <c r="A39">
        <v>10</v>
      </c>
      <c r="B39">
        <v>25</v>
      </c>
      <c r="C39">
        <v>3</v>
      </c>
    </row>
    <row r="40" spans="1:3" x14ac:dyDescent="0.25">
      <c r="A40">
        <v>10</v>
      </c>
      <c r="B40">
        <v>4</v>
      </c>
      <c r="C40">
        <v>3</v>
      </c>
    </row>
    <row r="41" spans="1:3" x14ac:dyDescent="0.25">
      <c r="A41">
        <v>10</v>
      </c>
      <c r="B41">
        <v>32</v>
      </c>
      <c r="C41">
        <v>2</v>
      </c>
    </row>
    <row r="42" spans="1:3" x14ac:dyDescent="0.25">
      <c r="A42">
        <v>11</v>
      </c>
      <c r="B42">
        <v>33</v>
      </c>
      <c r="C42">
        <v>2</v>
      </c>
    </row>
    <row r="43" spans="1:3" x14ac:dyDescent="0.25">
      <c r="A43">
        <v>11</v>
      </c>
      <c r="B43">
        <v>34</v>
      </c>
      <c r="C43">
        <v>8</v>
      </c>
    </row>
    <row r="44" spans="1:3" x14ac:dyDescent="0.25">
      <c r="A44">
        <v>11</v>
      </c>
      <c r="B44">
        <v>15</v>
      </c>
      <c r="C44">
        <v>8</v>
      </c>
    </row>
    <row r="45" spans="1:3" x14ac:dyDescent="0.25">
      <c r="A45">
        <v>11</v>
      </c>
      <c r="B45">
        <v>35</v>
      </c>
      <c r="C45">
        <v>5</v>
      </c>
    </row>
    <row r="46" spans="1:3" x14ac:dyDescent="0.25">
      <c r="A46">
        <v>12</v>
      </c>
      <c r="B46">
        <v>36</v>
      </c>
      <c r="C46">
        <v>8</v>
      </c>
    </row>
    <row r="47" spans="1:3" x14ac:dyDescent="0.25">
      <c r="A47">
        <v>12</v>
      </c>
      <c r="B47">
        <v>25</v>
      </c>
      <c r="C47">
        <v>3</v>
      </c>
    </row>
    <row r="48" spans="1:3" x14ac:dyDescent="0.25">
      <c r="A48">
        <v>12</v>
      </c>
      <c r="B48">
        <v>37</v>
      </c>
      <c r="C48">
        <v>10</v>
      </c>
    </row>
    <row r="49" spans="1:3" x14ac:dyDescent="0.25">
      <c r="A49">
        <v>12</v>
      </c>
      <c r="B49">
        <v>38</v>
      </c>
      <c r="C49">
        <v>11</v>
      </c>
    </row>
    <row r="50" spans="1:3" x14ac:dyDescent="0.25">
      <c r="A50">
        <v>13</v>
      </c>
      <c r="B50">
        <v>25</v>
      </c>
      <c r="C50">
        <v>3</v>
      </c>
    </row>
    <row r="51" spans="1:3" x14ac:dyDescent="0.25">
      <c r="A51">
        <v>13</v>
      </c>
      <c r="B51">
        <v>39</v>
      </c>
      <c r="C51">
        <v>7</v>
      </c>
    </row>
    <row r="52" spans="1:3" x14ac:dyDescent="0.25">
      <c r="A52">
        <v>13</v>
      </c>
      <c r="B52">
        <v>4</v>
      </c>
      <c r="C52">
        <v>3</v>
      </c>
    </row>
    <row r="53" spans="1:3" x14ac:dyDescent="0.25">
      <c r="A53">
        <v>13</v>
      </c>
      <c r="B53">
        <v>40</v>
      </c>
      <c r="C53">
        <v>9</v>
      </c>
    </row>
    <row r="54" spans="1:3" x14ac:dyDescent="0.25">
      <c r="A54">
        <v>14</v>
      </c>
      <c r="B54">
        <v>41</v>
      </c>
      <c r="C54">
        <v>2</v>
      </c>
    </row>
    <row r="55" spans="1:3" x14ac:dyDescent="0.25">
      <c r="A55">
        <v>14</v>
      </c>
      <c r="B55">
        <v>42</v>
      </c>
      <c r="C55">
        <v>1</v>
      </c>
    </row>
    <row r="56" spans="1:3" x14ac:dyDescent="0.25">
      <c r="A56">
        <v>14</v>
      </c>
      <c r="B56">
        <v>43</v>
      </c>
      <c r="C56">
        <v>5</v>
      </c>
    </row>
    <row r="57" spans="1:3" x14ac:dyDescent="0.25">
      <c r="A57">
        <v>14</v>
      </c>
      <c r="B57">
        <v>44</v>
      </c>
      <c r="C57">
        <v>8</v>
      </c>
    </row>
    <row r="58" spans="1:3" x14ac:dyDescent="0.25">
      <c r="A58">
        <v>15</v>
      </c>
      <c r="B58">
        <v>1</v>
      </c>
      <c r="C58">
        <v>1</v>
      </c>
    </row>
    <row r="59" spans="1:3" x14ac:dyDescent="0.25">
      <c r="A59">
        <v>15</v>
      </c>
      <c r="B59">
        <v>45</v>
      </c>
      <c r="C59">
        <v>6</v>
      </c>
    </row>
    <row r="60" spans="1:3" x14ac:dyDescent="0.25">
      <c r="A60">
        <v>15</v>
      </c>
      <c r="B60">
        <v>46</v>
      </c>
      <c r="C60">
        <v>3</v>
      </c>
    </row>
    <row r="61" spans="1:3" x14ac:dyDescent="0.25">
      <c r="A61">
        <v>15</v>
      </c>
      <c r="B61">
        <v>47</v>
      </c>
      <c r="C61">
        <v>9</v>
      </c>
    </row>
    <row r="62" spans="1:3" x14ac:dyDescent="0.25">
      <c r="A62">
        <v>16</v>
      </c>
      <c r="B62">
        <v>48</v>
      </c>
      <c r="C62">
        <v>1</v>
      </c>
    </row>
    <row r="63" spans="1:3" x14ac:dyDescent="0.25">
      <c r="A63">
        <v>16</v>
      </c>
      <c r="B63">
        <v>25</v>
      </c>
      <c r="C63">
        <v>3</v>
      </c>
    </row>
    <row r="64" spans="1:3" x14ac:dyDescent="0.25">
      <c r="A64">
        <v>16</v>
      </c>
      <c r="B64">
        <v>49</v>
      </c>
      <c r="C64">
        <v>3</v>
      </c>
    </row>
    <row r="65" spans="1:3" x14ac:dyDescent="0.25">
      <c r="A65">
        <v>16</v>
      </c>
      <c r="B65">
        <v>50</v>
      </c>
      <c r="C65">
        <v>3</v>
      </c>
    </row>
    <row r="66" spans="1:3" x14ac:dyDescent="0.25">
      <c r="A66">
        <v>17</v>
      </c>
      <c r="B66">
        <v>51</v>
      </c>
      <c r="C66">
        <v>3</v>
      </c>
    </row>
    <row r="67" spans="1:3" x14ac:dyDescent="0.25">
      <c r="A67">
        <v>17</v>
      </c>
      <c r="B67">
        <v>52</v>
      </c>
      <c r="C67">
        <v>3</v>
      </c>
    </row>
    <row r="68" spans="1:3" x14ac:dyDescent="0.25">
      <c r="A68">
        <v>17</v>
      </c>
      <c r="B68">
        <v>53</v>
      </c>
      <c r="C68">
        <v>8</v>
      </c>
    </row>
    <row r="69" spans="1:3" x14ac:dyDescent="0.25">
      <c r="A69">
        <v>17</v>
      </c>
      <c r="B69">
        <v>54</v>
      </c>
      <c r="C69">
        <v>12</v>
      </c>
    </row>
    <row r="70" spans="1:3" x14ac:dyDescent="0.25">
      <c r="A70">
        <v>18</v>
      </c>
      <c r="B70">
        <v>55</v>
      </c>
      <c r="C70">
        <v>13</v>
      </c>
    </row>
    <row r="71" spans="1:3" x14ac:dyDescent="0.25">
      <c r="A71">
        <v>18</v>
      </c>
      <c r="B71">
        <v>18</v>
      </c>
      <c r="C71">
        <v>2</v>
      </c>
    </row>
    <row r="72" spans="1:3" x14ac:dyDescent="0.25">
      <c r="A72">
        <v>18</v>
      </c>
      <c r="B72">
        <v>56</v>
      </c>
      <c r="C72">
        <v>3</v>
      </c>
    </row>
    <row r="73" spans="1:3" x14ac:dyDescent="0.25">
      <c r="A73">
        <v>18</v>
      </c>
      <c r="B73">
        <v>57</v>
      </c>
      <c r="C73">
        <v>4</v>
      </c>
    </row>
    <row r="74" spans="1:3" x14ac:dyDescent="0.25">
      <c r="A74">
        <v>19</v>
      </c>
      <c r="B74">
        <v>58</v>
      </c>
      <c r="C74">
        <v>3</v>
      </c>
    </row>
    <row r="75" spans="1:3" x14ac:dyDescent="0.25">
      <c r="A75">
        <v>19</v>
      </c>
      <c r="B75">
        <v>9</v>
      </c>
      <c r="C75">
        <v>1</v>
      </c>
    </row>
    <row r="76" spans="1:3" x14ac:dyDescent="0.25">
      <c r="A76">
        <v>19</v>
      </c>
      <c r="B76">
        <v>59</v>
      </c>
      <c r="C76">
        <v>2</v>
      </c>
    </row>
    <row r="77" spans="1:3" x14ac:dyDescent="0.25">
      <c r="A77">
        <v>19</v>
      </c>
      <c r="B77">
        <v>15</v>
      </c>
      <c r="C77">
        <v>8</v>
      </c>
    </row>
    <row r="78" spans="1:3" x14ac:dyDescent="0.25">
      <c r="A78">
        <v>20</v>
      </c>
      <c r="B78">
        <v>60</v>
      </c>
      <c r="C78">
        <v>3</v>
      </c>
    </row>
    <row r="79" spans="1:3" x14ac:dyDescent="0.25">
      <c r="A79">
        <v>20</v>
      </c>
      <c r="B79">
        <v>61</v>
      </c>
      <c r="C79">
        <v>8</v>
      </c>
    </row>
    <row r="80" spans="1:3" x14ac:dyDescent="0.25">
      <c r="A80">
        <v>20</v>
      </c>
      <c r="B80">
        <v>62</v>
      </c>
      <c r="C80">
        <v>2</v>
      </c>
    </row>
    <row r="81" spans="1:3" x14ac:dyDescent="0.25">
      <c r="A81">
        <v>20</v>
      </c>
      <c r="B81">
        <v>63</v>
      </c>
      <c r="C81">
        <v>14</v>
      </c>
    </row>
    <row r="82" spans="1:3" x14ac:dyDescent="0.25">
      <c r="A82">
        <v>21</v>
      </c>
      <c r="B82">
        <v>64</v>
      </c>
      <c r="C82">
        <v>2</v>
      </c>
    </row>
    <row r="83" spans="1:3" x14ac:dyDescent="0.25">
      <c r="A83">
        <v>21</v>
      </c>
      <c r="B83">
        <v>65</v>
      </c>
      <c r="C83">
        <v>13</v>
      </c>
    </row>
    <row r="84" spans="1:3" x14ac:dyDescent="0.25">
      <c r="A84">
        <v>21</v>
      </c>
      <c r="B84">
        <v>54</v>
      </c>
      <c r="C84">
        <v>12</v>
      </c>
    </row>
    <row r="85" spans="1:3" x14ac:dyDescent="0.25">
      <c r="A85">
        <v>21</v>
      </c>
      <c r="B85">
        <v>66</v>
      </c>
      <c r="C85">
        <v>9</v>
      </c>
    </row>
    <row r="86" spans="1:3" x14ac:dyDescent="0.25">
      <c r="A86">
        <v>22</v>
      </c>
      <c r="B86">
        <v>67</v>
      </c>
      <c r="C86">
        <v>1</v>
      </c>
    </row>
    <row r="87" spans="1:3" x14ac:dyDescent="0.25">
      <c r="A87">
        <v>22</v>
      </c>
      <c r="B87">
        <v>27</v>
      </c>
      <c r="C87">
        <v>3</v>
      </c>
    </row>
    <row r="88" spans="1:3" x14ac:dyDescent="0.25">
      <c r="A88">
        <v>22</v>
      </c>
      <c r="B88">
        <v>68</v>
      </c>
      <c r="C88">
        <v>2</v>
      </c>
    </row>
    <row r="89" spans="1:3" x14ac:dyDescent="0.25">
      <c r="A89">
        <v>22</v>
      </c>
      <c r="B89">
        <v>69</v>
      </c>
      <c r="C89">
        <v>3</v>
      </c>
    </row>
    <row r="90" spans="1:3" x14ac:dyDescent="0.25">
      <c r="A90">
        <v>23</v>
      </c>
      <c r="B90">
        <v>70</v>
      </c>
      <c r="C90">
        <v>3</v>
      </c>
    </row>
    <row r="91" spans="1:3" x14ac:dyDescent="0.25">
      <c r="A91">
        <v>23</v>
      </c>
      <c r="B91">
        <v>71</v>
      </c>
      <c r="C91">
        <v>1</v>
      </c>
    </row>
    <row r="92" spans="1:3" x14ac:dyDescent="0.25">
      <c r="A92">
        <v>23</v>
      </c>
      <c r="B92">
        <v>15</v>
      </c>
      <c r="C92">
        <v>8</v>
      </c>
    </row>
    <row r="93" spans="1:3" x14ac:dyDescent="0.25">
      <c r="A93">
        <v>23</v>
      </c>
      <c r="B93">
        <v>35</v>
      </c>
      <c r="C93">
        <v>5</v>
      </c>
    </row>
    <row r="94" spans="1:3" x14ac:dyDescent="0.25">
      <c r="A94">
        <v>24</v>
      </c>
      <c r="B94">
        <v>72</v>
      </c>
      <c r="C94">
        <v>1</v>
      </c>
    </row>
    <row r="95" spans="1:3" x14ac:dyDescent="0.25">
      <c r="A95">
        <v>24</v>
      </c>
      <c r="B95">
        <v>41</v>
      </c>
      <c r="C95">
        <v>2</v>
      </c>
    </row>
    <row r="96" spans="1:3" x14ac:dyDescent="0.25">
      <c r="A96">
        <v>24</v>
      </c>
      <c r="B96">
        <v>73</v>
      </c>
      <c r="C96">
        <v>3</v>
      </c>
    </row>
    <row r="97" spans="1:3" x14ac:dyDescent="0.25">
      <c r="A97">
        <v>24</v>
      </c>
      <c r="B97">
        <v>3</v>
      </c>
      <c r="C97">
        <v>3</v>
      </c>
    </row>
    <row r="98" spans="1:3" x14ac:dyDescent="0.25">
      <c r="A98">
        <v>25</v>
      </c>
      <c r="B98">
        <v>74</v>
      </c>
      <c r="C98">
        <v>3</v>
      </c>
    </row>
    <row r="99" spans="1:3" x14ac:dyDescent="0.25">
      <c r="A99">
        <v>25</v>
      </c>
      <c r="B99">
        <v>75</v>
      </c>
      <c r="C99">
        <v>1</v>
      </c>
    </row>
    <row r="100" spans="1:3" x14ac:dyDescent="0.25">
      <c r="A100">
        <v>25</v>
      </c>
      <c r="B100">
        <v>59</v>
      </c>
      <c r="C100">
        <v>2</v>
      </c>
    </row>
    <row r="101" spans="1:3" x14ac:dyDescent="0.25">
      <c r="A101">
        <v>25</v>
      </c>
      <c r="B101">
        <v>11</v>
      </c>
      <c r="C101">
        <v>3</v>
      </c>
    </row>
    <row r="102" spans="1:3" x14ac:dyDescent="0.25">
      <c r="A102">
        <v>26</v>
      </c>
      <c r="B102">
        <v>76</v>
      </c>
      <c r="C102">
        <v>13</v>
      </c>
    </row>
    <row r="103" spans="1:3" x14ac:dyDescent="0.25">
      <c r="A103">
        <v>26</v>
      </c>
      <c r="B103">
        <v>77</v>
      </c>
      <c r="C103">
        <v>3</v>
      </c>
    </row>
    <row r="104" spans="1:3" x14ac:dyDescent="0.25">
      <c r="A104">
        <v>26</v>
      </c>
      <c r="B104">
        <v>78</v>
      </c>
      <c r="C104">
        <v>8</v>
      </c>
    </row>
    <row r="105" spans="1:3" x14ac:dyDescent="0.25">
      <c r="A105">
        <v>26</v>
      </c>
      <c r="B105">
        <v>79</v>
      </c>
      <c r="C105">
        <v>12</v>
      </c>
    </row>
    <row r="106" spans="1:3" x14ac:dyDescent="0.25">
      <c r="A106">
        <v>27</v>
      </c>
      <c r="B106">
        <v>74</v>
      </c>
      <c r="C106">
        <v>3</v>
      </c>
    </row>
    <row r="107" spans="1:3" x14ac:dyDescent="0.25">
      <c r="A107">
        <v>27</v>
      </c>
      <c r="B107">
        <v>51</v>
      </c>
      <c r="C107">
        <v>3</v>
      </c>
    </row>
    <row r="108" spans="1:3" x14ac:dyDescent="0.25">
      <c r="A108">
        <v>27</v>
      </c>
      <c r="B108">
        <v>12</v>
      </c>
      <c r="C108">
        <v>5</v>
      </c>
    </row>
    <row r="109" spans="1:3" x14ac:dyDescent="0.25">
      <c r="A109">
        <v>27</v>
      </c>
      <c r="B109">
        <v>4</v>
      </c>
      <c r="C109">
        <v>3</v>
      </c>
    </row>
    <row r="110" spans="1:3" x14ac:dyDescent="0.25">
      <c r="A110">
        <v>28</v>
      </c>
      <c r="B110">
        <v>80</v>
      </c>
      <c r="C110">
        <v>1</v>
      </c>
    </row>
    <row r="111" spans="1:3" x14ac:dyDescent="0.25">
      <c r="A111">
        <v>28</v>
      </c>
      <c r="B111">
        <v>59</v>
      </c>
      <c r="C111">
        <v>2</v>
      </c>
    </row>
    <row r="112" spans="1:3" x14ac:dyDescent="0.25">
      <c r="A112">
        <v>28</v>
      </c>
      <c r="B112">
        <v>81</v>
      </c>
      <c r="C112">
        <v>3</v>
      </c>
    </row>
    <row r="113" spans="1:3" x14ac:dyDescent="0.25">
      <c r="A113">
        <v>28</v>
      </c>
      <c r="B113">
        <v>51</v>
      </c>
      <c r="C113">
        <v>3</v>
      </c>
    </row>
    <row r="114" spans="1:3" x14ac:dyDescent="0.25">
      <c r="A114">
        <v>29</v>
      </c>
      <c r="B114">
        <v>82</v>
      </c>
      <c r="C114">
        <v>10</v>
      </c>
    </row>
    <row r="115" spans="1:3" x14ac:dyDescent="0.25">
      <c r="A115">
        <v>29</v>
      </c>
      <c r="B115">
        <v>83</v>
      </c>
      <c r="C115">
        <v>12</v>
      </c>
    </row>
    <row r="116" spans="1:3" x14ac:dyDescent="0.25">
      <c r="A116">
        <v>29</v>
      </c>
      <c r="B116">
        <v>84</v>
      </c>
      <c r="C116">
        <v>5</v>
      </c>
    </row>
    <row r="117" spans="1:3" x14ac:dyDescent="0.25">
      <c r="A117">
        <v>29</v>
      </c>
      <c r="B117">
        <v>85</v>
      </c>
      <c r="C117">
        <v>14</v>
      </c>
    </row>
    <row r="118" spans="1:3" x14ac:dyDescent="0.25">
      <c r="A118">
        <v>30</v>
      </c>
      <c r="B118">
        <v>86</v>
      </c>
      <c r="C118">
        <v>3</v>
      </c>
    </row>
    <row r="119" spans="1:3" x14ac:dyDescent="0.25">
      <c r="A119">
        <v>30</v>
      </c>
      <c r="B119">
        <v>4</v>
      </c>
      <c r="C119">
        <v>3</v>
      </c>
    </row>
    <row r="120" spans="1:3" x14ac:dyDescent="0.25">
      <c r="A120">
        <v>30</v>
      </c>
      <c r="B120">
        <v>62</v>
      </c>
      <c r="C120">
        <v>2</v>
      </c>
    </row>
    <row r="121" spans="1:3" x14ac:dyDescent="0.25">
      <c r="A121">
        <v>30</v>
      </c>
      <c r="B121">
        <v>15</v>
      </c>
      <c r="C121">
        <v>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99FF-CF71-4AAB-9BB6-8022A35FEDFA}">
  <dimension ref="A1:B15"/>
  <sheetViews>
    <sheetView workbookViewId="0"/>
  </sheetViews>
  <sheetFormatPr defaultRowHeight="15" x14ac:dyDescent="0.25"/>
  <cols>
    <col min="1" max="1" width="15.42578125" bestFit="1" customWidth="1"/>
    <col min="2" max="2" width="14.42578125" bestFit="1" customWidth="1"/>
  </cols>
  <sheetData>
    <row r="1" spans="1:2" x14ac:dyDescent="0.25">
      <c r="A1" t="s">
        <v>229</v>
      </c>
      <c r="B1" t="s">
        <v>230</v>
      </c>
    </row>
    <row r="2" spans="1:2" x14ac:dyDescent="0.25">
      <c r="A2">
        <v>1</v>
      </c>
      <c r="B2" t="s">
        <v>231</v>
      </c>
    </row>
    <row r="3" spans="1:2" x14ac:dyDescent="0.25">
      <c r="A3">
        <v>2</v>
      </c>
      <c r="B3" t="s">
        <v>232</v>
      </c>
    </row>
    <row r="4" spans="1:2" x14ac:dyDescent="0.25">
      <c r="A4">
        <v>3</v>
      </c>
      <c r="B4" t="s">
        <v>233</v>
      </c>
    </row>
    <row r="5" spans="1:2" x14ac:dyDescent="0.25">
      <c r="A5">
        <v>4</v>
      </c>
      <c r="B5" t="s">
        <v>234</v>
      </c>
    </row>
    <row r="6" spans="1:2" x14ac:dyDescent="0.25">
      <c r="A6">
        <v>5</v>
      </c>
      <c r="B6" t="s">
        <v>235</v>
      </c>
    </row>
    <row r="7" spans="1:2" x14ac:dyDescent="0.25">
      <c r="A7">
        <v>6</v>
      </c>
      <c r="B7" t="s">
        <v>236</v>
      </c>
    </row>
    <row r="8" spans="1:2" x14ac:dyDescent="0.25">
      <c r="A8">
        <v>7</v>
      </c>
      <c r="B8" t="s">
        <v>237</v>
      </c>
    </row>
    <row r="9" spans="1:2" x14ac:dyDescent="0.25">
      <c r="A9">
        <v>8</v>
      </c>
      <c r="B9" t="s">
        <v>238</v>
      </c>
    </row>
    <row r="10" spans="1:2" x14ac:dyDescent="0.25">
      <c r="A10">
        <v>9</v>
      </c>
      <c r="B10" t="s">
        <v>239</v>
      </c>
    </row>
    <row r="11" spans="1:2" x14ac:dyDescent="0.25">
      <c r="A11">
        <v>10</v>
      </c>
      <c r="B11" t="s">
        <v>240</v>
      </c>
    </row>
    <row r="12" spans="1:2" x14ac:dyDescent="0.25">
      <c r="A12">
        <v>11</v>
      </c>
      <c r="B12" t="s">
        <v>241</v>
      </c>
    </row>
    <row r="13" spans="1:2" x14ac:dyDescent="0.25">
      <c r="A13">
        <v>12</v>
      </c>
      <c r="B13" t="s">
        <v>242</v>
      </c>
    </row>
    <row r="14" spans="1:2" x14ac:dyDescent="0.25">
      <c r="A14">
        <v>13</v>
      </c>
      <c r="B14" t="s">
        <v>243</v>
      </c>
    </row>
    <row r="15" spans="1:2" x14ac:dyDescent="0.25">
      <c r="A15">
        <v>14</v>
      </c>
      <c r="B15" t="s">
        <v>244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pane ySplit="3" topLeftCell="A4" activePane="bottomLeft" state="frozen"/>
      <selection pane="bottomLeft" activeCell="H2" sqref="H2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  <row r="2" spans="1:8" x14ac:dyDescent="0.25">
      <c r="A2" s="10" t="s">
        <v>103</v>
      </c>
      <c r="B2" s="11" t="s">
        <v>22</v>
      </c>
      <c r="C2" s="12">
        <f>VLOOKUP($B2,Etelek!$A$2:$G$100,2,FALSE)</f>
        <v>800</v>
      </c>
      <c r="D2" s="13">
        <f>VLOOKUP($B2,Etelek!$A$2:$G$100,3,FALSE)</f>
        <v>680</v>
      </c>
      <c r="E2" s="14">
        <f ca="1">IFERROR(XLOOKUP($B2,tblEtelek[Név],tblEtelek[Szénhidrát (g)]),VLOOKUP($B2,tblEtelek[],4,FALSE))</f>
        <v>42</v>
      </c>
      <c r="F2" s="14">
        <f>VLOOKUP($B2,Etelek!$A$2:$G$100,5,FALSE)</f>
        <v>45</v>
      </c>
      <c r="G2" s="14">
        <f>VLOOKUP($B2,Etelek!$A$2:$G$100,6,FALSE)</f>
        <v>28</v>
      </c>
      <c r="H2" s="15">
        <f>VLOOKUP($B2,Etelek!$A$2:$G$100,7,FALSE)</f>
        <v>4</v>
      </c>
    </row>
    <row r="3" spans="1:8" x14ac:dyDescent="0.25">
      <c r="A3" s="10" t="s">
        <v>104</v>
      </c>
      <c r="B3" s="11" t="s">
        <v>22</v>
      </c>
      <c r="C3" s="12">
        <f>VLOOKUP($B3,Etelek!$A$2:$G$100,2,FALSE)</f>
        <v>800</v>
      </c>
      <c r="D3" s="13">
        <f>VLOOKUP($B3,Etelek!$A$2:$G$100,3,FALSE)</f>
        <v>680</v>
      </c>
      <c r="E3" s="14">
        <f ca="1">IFERROR(XLOOKUP($B3,tblEtelek[Név],tblEtelek[Szénhidrát (g)]),VLOOKUP($B3,tblEtelek[],4,FALSE))</f>
        <v>42</v>
      </c>
      <c r="F3" s="14">
        <f>VLOOKUP($B3,Etelek!$A$2:$G$100,5,FALSE)</f>
        <v>45</v>
      </c>
      <c r="G3" s="14">
        <f>VLOOKUP($B3,Etelek!$A$2:$G$100,6,FALSE)</f>
        <v>28</v>
      </c>
      <c r="H3" s="15">
        <f>VLOOKUP($B3,Etelek!$A$2:$G$100,7,FALSE)</f>
        <v>4</v>
      </c>
    </row>
    <row r="4" spans="1:8" x14ac:dyDescent="0.25">
      <c r="A4" s="10" t="s">
        <v>105</v>
      </c>
      <c r="B4" s="11" t="s">
        <v>30</v>
      </c>
      <c r="C4" s="12">
        <f>VLOOKUP($B4,Etelek!$A$2:$G$100,2,FALSE)</f>
        <v>1050</v>
      </c>
      <c r="D4" s="13">
        <f>VLOOKUP($B4,Etelek!$A$2:$G$100,3,FALSE)</f>
        <v>850</v>
      </c>
      <c r="E4" s="14">
        <f ca="1">IFERROR(XLOOKUP($B4,tblEtelek[Név],tblEtelek[Szénhidrát (g)]),VLOOKUP($B4,tblEtelek[],4,FALSE))</f>
        <v>75</v>
      </c>
      <c r="F4" s="14">
        <f>VLOOKUP($B4,Etelek!$A$2:$G$100,5,FALSE)</f>
        <v>48</v>
      </c>
      <c r="G4" s="14">
        <f>VLOOKUP($B4,Etelek!$A$2:$G$100,6,FALSE)</f>
        <v>28</v>
      </c>
      <c r="H4" s="15">
        <f>VLOOKUP($B4,Etelek!$A$2:$G$100,7,FALSE)</f>
        <v>4</v>
      </c>
    </row>
    <row r="5" spans="1:8" x14ac:dyDescent="0.25">
      <c r="A5" s="10" t="s">
        <v>106</v>
      </c>
      <c r="B5" s="11" t="s">
        <v>24</v>
      </c>
      <c r="C5" s="12">
        <f>VLOOKUP($B5,Etelek!$A$2:$G$100,2,FALSE)</f>
        <v>450</v>
      </c>
      <c r="D5" s="13">
        <f>VLOOKUP($B5,Etelek!$A$2:$G$100,3,FALSE)</f>
        <v>180</v>
      </c>
      <c r="E5" s="14">
        <f ca="1">IFERROR(XLOOKUP($B5,tblEtelek[Név],tblEtelek[Szénhidrát (g)]),VLOOKUP($B5,tblEtelek[],4,FALSE))</f>
        <v>25</v>
      </c>
      <c r="F5" s="14">
        <f>VLOOKUP($B5,Etelek!$A$2:$G$100,5,FALSE)</f>
        <v>6</v>
      </c>
      <c r="G5" s="14">
        <f>VLOOKUP($B5,Etelek!$A$2:$G$100,6,FALSE)</f>
        <v>5</v>
      </c>
      <c r="H5" s="15">
        <f>VLOOKUP($B5,Etelek!$A$2:$G$100,7,FALSE)</f>
        <v>4</v>
      </c>
    </row>
    <row r="6" spans="1:8" x14ac:dyDescent="0.25">
      <c r="A6" s="10" t="s">
        <v>107</v>
      </c>
      <c r="B6" s="11" t="s">
        <v>40</v>
      </c>
      <c r="C6" s="12">
        <f>VLOOKUP($B6,Etelek!$A$2:$G$100,2,FALSE)</f>
        <v>900</v>
      </c>
      <c r="D6" s="13">
        <f>VLOOKUP($B6,Etelek!$A$2:$G$100,3,FALSE)</f>
        <v>280</v>
      </c>
      <c r="E6" s="14">
        <f ca="1">IFERROR(XLOOKUP($B6,tblEtelek[Név],tblEtelek[Szénhidrát (g)]),VLOOKUP($B6,tblEtelek[],4,FALSE))</f>
        <v>10</v>
      </c>
      <c r="F6" s="14">
        <f>VLOOKUP($B6,Etelek!$A$2:$G$100,5,FALSE)</f>
        <v>22</v>
      </c>
      <c r="G6" s="14">
        <f>VLOOKUP($B6,Etelek!$A$2:$G$100,6,FALSE)</f>
        <v>8</v>
      </c>
      <c r="H6" s="15">
        <f>Menu!M5</f>
        <v>0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4000</v>
      </c>
      <c r="D8" s="22">
        <f t="shared" si="0"/>
        <v>2670</v>
      </c>
      <c r="E8" s="23">
        <f t="shared" ca="1" si="0"/>
        <v>194</v>
      </c>
      <c r="F8" s="23">
        <f t="shared" si="0"/>
        <v>166</v>
      </c>
      <c r="G8" s="23">
        <f t="shared" si="0"/>
        <v>97</v>
      </c>
      <c r="H8" s="24">
        <f t="shared" si="0"/>
        <v>16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18EC0C-3EB1-4D49-9A3B-269B13026224}">
          <x14:formula1>
            <xm:f>Etelek!$A$2:$A$31</xm:f>
          </x14:formula1>
          <xm:sqref>B2:B6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topLeftCell="B1" workbookViewId="0">
      <pane ySplit="3" topLeftCell="A4" activePane="bottomLeft" state="frozen"/>
      <selection pane="bottomLeft" activeCell="B21" sqref="B21"/>
    </sheetView>
  </sheetViews>
  <sheetFormatPr defaultRowHeight="15" x14ac:dyDescent="0.25"/>
  <cols>
    <col min="1" max="1" width="30" customWidth="1"/>
    <col min="2" max="2" width="70" customWidth="1"/>
    <col min="3" max="12" width="18" customWidth="1"/>
  </cols>
  <sheetData>
    <row r="1" spans="1:12" ht="17.25" x14ac:dyDescent="0.3">
      <c r="A1" s="8" t="s">
        <v>109</v>
      </c>
      <c r="B1" s="1" t="s">
        <v>116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117</v>
      </c>
      <c r="H1" s="1"/>
      <c r="I1" s="1"/>
      <c r="J1" s="1"/>
      <c r="K1" s="1"/>
      <c r="L1" s="1"/>
    </row>
    <row r="2" spans="1:12" x14ac:dyDescent="0.25">
      <c r="B2" s="7" t="s">
        <v>75</v>
      </c>
      <c r="C2" s="4">
        <v>1300</v>
      </c>
      <c r="D2" s="5">
        <v>70</v>
      </c>
      <c r="E2" s="5">
        <v>35</v>
      </c>
      <c r="F2" s="5">
        <v>200</v>
      </c>
      <c r="G2" s="4">
        <f>Menu!D8</f>
        <v>2670</v>
      </c>
      <c r="H2" s="5">
        <f ca="1">Menu!E8</f>
        <v>194</v>
      </c>
      <c r="I2" s="5">
        <f>Menu!F8</f>
        <v>166</v>
      </c>
      <c r="J2" s="5">
        <f>Menu!G8</f>
        <v>97</v>
      </c>
      <c r="K2" s="2" t="str">
        <f t="shared" ref="K2:K9" ca="1" si="0">IF(AND(G2&lt;=C2,H2&lt;=D2,I2&lt;=E2,J2&lt;=F2),"IGEN","NEM")</f>
        <v>NEM</v>
      </c>
      <c r="L2" s="2">
        <f t="shared" ref="L2:L9" ca="1" si="1">MAX(0,G2-C2)+MAX(0,H2-D2)+MAX(0,I2-E2)+MAX(0,J2-F2)</f>
        <v>1625</v>
      </c>
    </row>
    <row r="3" spans="1:12" x14ac:dyDescent="0.25">
      <c r="A3" s="1" t="s">
        <v>115</v>
      </c>
      <c r="B3" s="7" t="s">
        <v>77</v>
      </c>
      <c r="C3" s="4">
        <v>4000</v>
      </c>
      <c r="D3" s="5">
        <v>350</v>
      </c>
      <c r="E3" s="5">
        <v>270</v>
      </c>
      <c r="F3" s="5">
        <v>300</v>
      </c>
      <c r="G3" s="4">
        <f>Menu!D8</f>
        <v>2670</v>
      </c>
      <c r="H3" s="5">
        <f ca="1">Menu!E8</f>
        <v>194</v>
      </c>
      <c r="I3" s="5">
        <f>Menu!F8</f>
        <v>166</v>
      </c>
      <c r="J3" s="5">
        <f>Menu!G8</f>
        <v>97</v>
      </c>
      <c r="K3" s="2" t="str">
        <f t="shared" ca="1" si="0"/>
        <v>IGEN</v>
      </c>
      <c r="L3" s="2">
        <f t="shared" ca="1" si="1"/>
        <v>0</v>
      </c>
    </row>
    <row r="4" spans="1:12" x14ac:dyDescent="0.25">
      <c r="A4" s="2" t="s">
        <v>74</v>
      </c>
      <c r="B4" s="7" t="s">
        <v>79</v>
      </c>
      <c r="C4" s="4">
        <v>2100</v>
      </c>
      <c r="D4" s="5">
        <v>50</v>
      </c>
      <c r="E4" s="5">
        <v>200</v>
      </c>
      <c r="F4" s="5">
        <v>180</v>
      </c>
      <c r="G4" s="4">
        <f>Menu!D8</f>
        <v>2670</v>
      </c>
      <c r="H4" s="5">
        <f ca="1">Menu!E8</f>
        <v>194</v>
      </c>
      <c r="I4" s="5">
        <f>Menu!F8</f>
        <v>166</v>
      </c>
      <c r="J4" s="5">
        <f>Menu!G8</f>
        <v>97</v>
      </c>
      <c r="K4" s="2" t="str">
        <f t="shared" ca="1" si="0"/>
        <v>NEM</v>
      </c>
      <c r="L4" s="2">
        <f t="shared" ca="1" si="1"/>
        <v>714</v>
      </c>
    </row>
    <row r="5" spans="1:12" x14ac:dyDescent="0.25">
      <c r="A5" s="2" t="s">
        <v>76</v>
      </c>
      <c r="B5" s="7" t="s">
        <v>81</v>
      </c>
      <c r="C5" s="4">
        <v>1600</v>
      </c>
      <c r="D5" s="5">
        <v>250</v>
      </c>
      <c r="E5" s="5">
        <v>160</v>
      </c>
      <c r="F5" s="5">
        <v>150</v>
      </c>
      <c r="G5" s="4">
        <f>Menu!D8</f>
        <v>2670</v>
      </c>
      <c r="H5" s="5">
        <f ca="1">Menu!E8</f>
        <v>194</v>
      </c>
      <c r="I5" s="5">
        <f>Menu!F8</f>
        <v>166</v>
      </c>
      <c r="J5" s="5">
        <f>Menu!G8</f>
        <v>97</v>
      </c>
      <c r="K5" s="2" t="str">
        <f t="shared" ca="1" si="0"/>
        <v>NEM</v>
      </c>
      <c r="L5" s="2">
        <f t="shared" ca="1" si="1"/>
        <v>1076</v>
      </c>
    </row>
    <row r="6" spans="1:12" x14ac:dyDescent="0.25">
      <c r="A6" s="2" t="s">
        <v>78</v>
      </c>
      <c r="B6" s="7" t="s">
        <v>83</v>
      </c>
      <c r="C6" s="4">
        <v>2100</v>
      </c>
      <c r="D6" s="5">
        <v>70</v>
      </c>
      <c r="E6" s="5">
        <v>180</v>
      </c>
      <c r="F6" s="5">
        <v>200</v>
      </c>
      <c r="G6" s="4">
        <f>Menu!D8</f>
        <v>2670</v>
      </c>
      <c r="H6" s="5">
        <f ca="1">Menu!E8</f>
        <v>194</v>
      </c>
      <c r="I6" s="5">
        <f>Menu!F8</f>
        <v>166</v>
      </c>
      <c r="J6" s="5">
        <f>Menu!G8</f>
        <v>97</v>
      </c>
      <c r="K6" s="2" t="str">
        <f t="shared" ca="1" si="0"/>
        <v>NEM</v>
      </c>
      <c r="L6" s="2">
        <f t="shared" ca="1" si="1"/>
        <v>694</v>
      </c>
    </row>
    <row r="7" spans="1:12" x14ac:dyDescent="0.25">
      <c r="A7" s="2" t="s">
        <v>80</v>
      </c>
      <c r="B7" s="7" t="s">
        <v>85</v>
      </c>
      <c r="C7" s="4">
        <v>2000</v>
      </c>
      <c r="D7" s="5">
        <v>200</v>
      </c>
      <c r="E7" s="5">
        <v>150</v>
      </c>
      <c r="F7" s="5">
        <v>180</v>
      </c>
      <c r="G7" s="4">
        <f>Menu!D8</f>
        <v>2670</v>
      </c>
      <c r="H7" s="5">
        <f ca="1">Menu!E8</f>
        <v>194</v>
      </c>
      <c r="I7" s="5">
        <f>Menu!F8</f>
        <v>166</v>
      </c>
      <c r="J7" s="5">
        <f>Menu!G8</f>
        <v>97</v>
      </c>
      <c r="K7" s="2" t="str">
        <f t="shared" ca="1" si="0"/>
        <v>NEM</v>
      </c>
      <c r="L7" s="2">
        <f t="shared" ca="1" si="1"/>
        <v>686</v>
      </c>
    </row>
    <row r="8" spans="1:12" x14ac:dyDescent="0.25">
      <c r="A8" s="2" t="s">
        <v>82</v>
      </c>
      <c r="B8" s="7" t="s">
        <v>87</v>
      </c>
      <c r="C8" s="4">
        <v>1500</v>
      </c>
      <c r="D8" s="5">
        <v>100</v>
      </c>
      <c r="E8" s="5">
        <v>200</v>
      </c>
      <c r="F8" s="5">
        <v>100</v>
      </c>
      <c r="G8" s="4">
        <f>Menu!D8</f>
        <v>2670</v>
      </c>
      <c r="H8" s="5">
        <f ca="1">Menu!E8</f>
        <v>194</v>
      </c>
      <c r="I8" s="5">
        <f>Menu!F8</f>
        <v>166</v>
      </c>
      <c r="J8" s="5">
        <f>Menu!G8</f>
        <v>97</v>
      </c>
      <c r="K8" s="2" t="str">
        <f t="shared" ca="1" si="0"/>
        <v>NEM</v>
      </c>
      <c r="L8" s="2">
        <f t="shared" ca="1" si="1"/>
        <v>1264</v>
      </c>
    </row>
    <row r="9" spans="1:12" x14ac:dyDescent="0.25">
      <c r="A9" s="2" t="s">
        <v>84</v>
      </c>
      <c r="B9" s="7" t="s">
        <v>89</v>
      </c>
      <c r="C9" s="4">
        <v>3500</v>
      </c>
      <c r="D9" s="5">
        <v>300</v>
      </c>
      <c r="E9" s="5">
        <v>230</v>
      </c>
      <c r="F9" s="5">
        <v>200</v>
      </c>
      <c r="G9" s="4">
        <f>Menu!D8</f>
        <v>2670</v>
      </c>
      <c r="H9" s="5">
        <f ca="1">Menu!E8</f>
        <v>194</v>
      </c>
      <c r="I9" s="5">
        <f>Menu!F8</f>
        <v>166</v>
      </c>
      <c r="J9" s="5">
        <f>Menu!G8</f>
        <v>97</v>
      </c>
      <c r="K9" s="2" t="str">
        <f t="shared" ca="1" si="0"/>
        <v>IGEN</v>
      </c>
      <c r="L9" s="2">
        <f t="shared" ca="1" si="1"/>
        <v>0</v>
      </c>
    </row>
    <row r="10" spans="1:12" x14ac:dyDescent="0.25">
      <c r="A10" s="2" t="s">
        <v>86</v>
      </c>
    </row>
    <row r="11" spans="1:12" x14ac:dyDescent="0.25">
      <c r="A11" s="2" t="s">
        <v>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>
      <pane ySplit="3" topLeftCell="A4" activePane="bottomLeft" state="frozen"/>
      <selection pane="bottomLeft" activeCell="F27" sqref="F27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24</v>
      </c>
      <c r="C2" s="3">
        <v>450</v>
      </c>
      <c r="D2" s="4">
        <v>180</v>
      </c>
      <c r="E2" s="5">
        <v>25</v>
      </c>
      <c r="F2" s="5">
        <v>6</v>
      </c>
      <c r="G2" s="5">
        <v>5</v>
      </c>
      <c r="H2" s="6">
        <v>4</v>
      </c>
    </row>
    <row r="3" spans="1:8" x14ac:dyDescent="0.25">
      <c r="A3" s="2" t="s">
        <v>104</v>
      </c>
      <c r="B3" s="7" t="s">
        <v>50</v>
      </c>
      <c r="C3" s="3">
        <v>650</v>
      </c>
      <c r="D3" s="4">
        <v>210</v>
      </c>
      <c r="E3" s="5">
        <v>18</v>
      </c>
      <c r="F3" s="5">
        <v>8</v>
      </c>
      <c r="G3" s="5">
        <v>16</v>
      </c>
      <c r="H3" s="6">
        <v>4</v>
      </c>
    </row>
    <row r="4" spans="1:8" x14ac:dyDescent="0.25">
      <c r="A4" s="2" t="s">
        <v>105</v>
      </c>
      <c r="B4" s="7" t="s">
        <v>60</v>
      </c>
      <c r="C4" s="3">
        <v>400</v>
      </c>
      <c r="D4" s="4">
        <v>310</v>
      </c>
      <c r="E4" s="5">
        <v>15</v>
      </c>
      <c r="F4" s="5">
        <v>22</v>
      </c>
      <c r="G4" s="5">
        <v>14</v>
      </c>
      <c r="H4" s="6">
        <v>4</v>
      </c>
    </row>
    <row r="5" spans="1:8" x14ac:dyDescent="0.25">
      <c r="A5" s="2" t="s">
        <v>106</v>
      </c>
      <c r="B5" s="7" t="s">
        <v>40</v>
      </c>
      <c r="C5" s="3">
        <v>900</v>
      </c>
      <c r="D5" s="4">
        <v>280</v>
      </c>
      <c r="E5" s="5">
        <v>10</v>
      </c>
      <c r="F5" s="5">
        <v>22</v>
      </c>
      <c r="G5" s="5">
        <v>8</v>
      </c>
      <c r="H5" s="6">
        <v>4</v>
      </c>
    </row>
    <row r="6" spans="1:8" x14ac:dyDescent="0.25">
      <c r="A6" s="2" t="s">
        <v>107</v>
      </c>
      <c r="B6" s="7" t="s">
        <v>50</v>
      </c>
      <c r="C6" s="3">
        <v>650</v>
      </c>
      <c r="D6" s="4">
        <v>210</v>
      </c>
      <c r="E6" s="5">
        <v>18</v>
      </c>
      <c r="F6" s="5">
        <v>8</v>
      </c>
      <c r="G6" s="5">
        <v>16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3050</v>
      </c>
      <c r="D8" s="22">
        <f t="shared" si="0"/>
        <v>1190</v>
      </c>
      <c r="E8" s="23">
        <f t="shared" si="0"/>
        <v>86</v>
      </c>
      <c r="F8" s="23">
        <f t="shared" si="0"/>
        <v>66</v>
      </c>
      <c r="G8" s="23">
        <f t="shared" si="0"/>
        <v>59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1300</v>
      </c>
      <c r="D11" t="s">
        <v>113</v>
      </c>
      <c r="E11" s="17">
        <f>D8</f>
        <v>1190</v>
      </c>
    </row>
    <row r="12" spans="1:8" x14ac:dyDescent="0.25">
      <c r="B12" t="s">
        <v>99</v>
      </c>
      <c r="C12" s="18">
        <v>70</v>
      </c>
      <c r="D12" t="s">
        <v>113</v>
      </c>
      <c r="E12" s="18">
        <f>E8</f>
        <v>86</v>
      </c>
    </row>
    <row r="13" spans="1:8" x14ac:dyDescent="0.25">
      <c r="B13" t="s">
        <v>100</v>
      </c>
      <c r="C13" s="18">
        <v>35</v>
      </c>
      <c r="D13" t="s">
        <v>113</v>
      </c>
      <c r="E13" s="18">
        <f>F8</f>
        <v>66</v>
      </c>
    </row>
    <row r="14" spans="1:8" x14ac:dyDescent="0.25">
      <c r="B14" t="s">
        <v>101</v>
      </c>
      <c r="C14" s="18">
        <v>200</v>
      </c>
      <c r="D14" t="s">
        <v>113</v>
      </c>
      <c r="E14" s="18">
        <f>G8</f>
        <v>59</v>
      </c>
    </row>
    <row r="16" spans="1:8" x14ac:dyDescent="0.25">
      <c r="B16" t="s">
        <v>114</v>
      </c>
      <c r="C16" t="str">
        <f>IF(AND(E11&lt;=C11,E12&lt;=C12,E13&lt;=C13,E14&lt;=C14),"IGEN","NEM")</f>
        <v>NEM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workbookViewId="0">
      <pane ySplit="3" topLeftCell="A4" activePane="bottomLeft" state="frozen"/>
      <selection pane="bottomLeft" activeCell="G31" sqref="G31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50</v>
      </c>
      <c r="C2" s="3">
        <v>650</v>
      </c>
      <c r="D2" s="4">
        <v>210</v>
      </c>
      <c r="E2" s="5">
        <v>18</v>
      </c>
      <c r="F2" s="5">
        <v>8</v>
      </c>
      <c r="G2" s="5">
        <v>16</v>
      </c>
      <c r="H2" s="6">
        <v>4</v>
      </c>
    </row>
    <row r="3" spans="1:8" x14ac:dyDescent="0.25">
      <c r="A3" s="2" t="s">
        <v>104</v>
      </c>
      <c r="B3" s="7" t="s">
        <v>40</v>
      </c>
      <c r="C3" s="3">
        <v>900</v>
      </c>
      <c r="D3" s="4">
        <v>280</v>
      </c>
      <c r="E3" s="5">
        <v>10</v>
      </c>
      <c r="F3" s="5">
        <v>22</v>
      </c>
      <c r="G3" s="5">
        <v>8</v>
      </c>
      <c r="H3" s="6">
        <v>4</v>
      </c>
    </row>
    <row r="4" spans="1:8" x14ac:dyDescent="0.25">
      <c r="A4" s="2" t="s">
        <v>105</v>
      </c>
      <c r="B4" s="7" t="s">
        <v>50</v>
      </c>
      <c r="C4" s="3">
        <v>650</v>
      </c>
      <c r="D4" s="4">
        <v>210</v>
      </c>
      <c r="E4" s="5">
        <v>18</v>
      </c>
      <c r="F4" s="5">
        <v>8</v>
      </c>
      <c r="G4" s="5">
        <v>16</v>
      </c>
      <c r="H4" s="6">
        <v>4</v>
      </c>
    </row>
    <row r="5" spans="1:8" x14ac:dyDescent="0.25">
      <c r="A5" s="2" t="s">
        <v>106</v>
      </c>
      <c r="B5" s="7" t="s">
        <v>40</v>
      </c>
      <c r="C5" s="3">
        <v>900</v>
      </c>
      <c r="D5" s="4">
        <v>280</v>
      </c>
      <c r="E5" s="5">
        <v>10</v>
      </c>
      <c r="F5" s="5">
        <v>22</v>
      </c>
      <c r="G5" s="5">
        <v>8</v>
      </c>
      <c r="H5" s="6">
        <v>4</v>
      </c>
    </row>
    <row r="6" spans="1:8" x14ac:dyDescent="0.25">
      <c r="A6" s="2" t="s">
        <v>107</v>
      </c>
      <c r="B6" s="7" t="s">
        <v>24</v>
      </c>
      <c r="C6" s="3">
        <v>450</v>
      </c>
      <c r="D6" s="4">
        <v>180</v>
      </c>
      <c r="E6" s="5">
        <v>25</v>
      </c>
      <c r="F6" s="5">
        <v>6</v>
      </c>
      <c r="G6" s="5">
        <v>5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3550</v>
      </c>
      <c r="D8" s="22">
        <f t="shared" si="0"/>
        <v>1160</v>
      </c>
      <c r="E8" s="23">
        <f t="shared" si="0"/>
        <v>81</v>
      </c>
      <c r="F8" s="23">
        <f t="shared" si="0"/>
        <v>66</v>
      </c>
      <c r="G8" s="23">
        <f t="shared" si="0"/>
        <v>53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1300</v>
      </c>
      <c r="D11" t="s">
        <v>113</v>
      </c>
      <c r="E11" s="17">
        <f>D8</f>
        <v>1160</v>
      </c>
    </row>
    <row r="12" spans="1:8" x14ac:dyDescent="0.25">
      <c r="B12" t="s">
        <v>99</v>
      </c>
      <c r="C12" s="18">
        <v>70</v>
      </c>
      <c r="D12" t="s">
        <v>113</v>
      </c>
      <c r="E12" s="18">
        <f>E8</f>
        <v>81</v>
      </c>
    </row>
    <row r="13" spans="1:8" x14ac:dyDescent="0.25">
      <c r="B13" t="s">
        <v>100</v>
      </c>
      <c r="C13" s="18">
        <v>35</v>
      </c>
      <c r="D13" t="s">
        <v>113</v>
      </c>
      <c r="E13" s="18">
        <f>F8</f>
        <v>66</v>
      </c>
    </row>
    <row r="14" spans="1:8" x14ac:dyDescent="0.25">
      <c r="B14" t="s">
        <v>101</v>
      </c>
      <c r="C14" s="18">
        <v>200</v>
      </c>
      <c r="D14" t="s">
        <v>113</v>
      </c>
      <c r="E14" s="18">
        <f>G8</f>
        <v>53</v>
      </c>
    </row>
    <row r="16" spans="1:8" x14ac:dyDescent="0.25">
      <c r="B16" t="s">
        <v>114</v>
      </c>
      <c r="C16" t="str">
        <f>IF(AND(E11&lt;=C11,E12&lt;=C12,E13&lt;=C13,E14&lt;=C14),"IGEN","NEM")</f>
        <v>NEM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>
      <pane ySplit="3" topLeftCell="A4" activePane="bottomLeft" state="frozen"/>
      <selection pane="bottomLeft" activeCell="H31" sqref="H31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20</v>
      </c>
      <c r="C2" s="3">
        <v>400</v>
      </c>
      <c r="D2" s="4">
        <v>550</v>
      </c>
      <c r="E2" s="5">
        <v>72</v>
      </c>
      <c r="F2" s="5">
        <v>18</v>
      </c>
      <c r="G2" s="5">
        <v>20</v>
      </c>
      <c r="H2" s="6">
        <v>4</v>
      </c>
    </row>
    <row r="3" spans="1:8" x14ac:dyDescent="0.25">
      <c r="A3" s="2" t="s">
        <v>104</v>
      </c>
      <c r="B3" s="7" t="s">
        <v>60</v>
      </c>
      <c r="C3" s="3">
        <v>400</v>
      </c>
      <c r="D3" s="4">
        <v>310</v>
      </c>
      <c r="E3" s="5">
        <v>15</v>
      </c>
      <c r="F3" s="5">
        <v>22</v>
      </c>
      <c r="G3" s="5">
        <v>14</v>
      </c>
      <c r="H3" s="6">
        <v>4</v>
      </c>
    </row>
    <row r="4" spans="1:8" x14ac:dyDescent="0.25">
      <c r="A4" s="2" t="s">
        <v>105</v>
      </c>
      <c r="B4" s="7" t="s">
        <v>62</v>
      </c>
      <c r="C4" s="3">
        <v>550</v>
      </c>
      <c r="D4" s="4">
        <v>520</v>
      </c>
      <c r="E4" s="5">
        <v>55</v>
      </c>
      <c r="F4" s="5">
        <v>18</v>
      </c>
      <c r="G4" s="5">
        <v>28</v>
      </c>
      <c r="H4" s="6">
        <v>4</v>
      </c>
    </row>
    <row r="5" spans="1:8" x14ac:dyDescent="0.25">
      <c r="A5" s="2" t="s">
        <v>106</v>
      </c>
      <c r="B5" s="7" t="s">
        <v>46</v>
      </c>
      <c r="C5" s="3">
        <v>350</v>
      </c>
      <c r="D5" s="4">
        <v>320</v>
      </c>
      <c r="E5" s="5">
        <v>42</v>
      </c>
      <c r="F5" s="5">
        <v>10</v>
      </c>
      <c r="G5" s="5">
        <v>14</v>
      </c>
      <c r="H5" s="6">
        <v>4</v>
      </c>
    </row>
    <row r="6" spans="1:8" x14ac:dyDescent="0.25">
      <c r="A6" s="2" t="s">
        <v>107</v>
      </c>
      <c r="B6" s="7" t="s">
        <v>46</v>
      </c>
      <c r="C6" s="3">
        <v>350</v>
      </c>
      <c r="D6" s="4">
        <v>320</v>
      </c>
      <c r="E6" s="5">
        <v>42</v>
      </c>
      <c r="F6" s="5">
        <v>10</v>
      </c>
      <c r="G6" s="5">
        <v>14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2050</v>
      </c>
      <c r="D8" s="22">
        <f t="shared" si="0"/>
        <v>2020</v>
      </c>
      <c r="E8" s="23">
        <f t="shared" si="0"/>
        <v>226</v>
      </c>
      <c r="F8" s="23">
        <f t="shared" si="0"/>
        <v>78</v>
      </c>
      <c r="G8" s="23">
        <f t="shared" si="0"/>
        <v>90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4000</v>
      </c>
      <c r="D11" t="s">
        <v>113</v>
      </c>
      <c r="E11" s="17">
        <f>D8</f>
        <v>2020</v>
      </c>
    </row>
    <row r="12" spans="1:8" x14ac:dyDescent="0.25">
      <c r="B12" t="s">
        <v>99</v>
      </c>
      <c r="C12" s="18">
        <v>350</v>
      </c>
      <c r="D12" t="s">
        <v>113</v>
      </c>
      <c r="E12" s="18">
        <f>E8</f>
        <v>226</v>
      </c>
    </row>
    <row r="13" spans="1:8" x14ac:dyDescent="0.25">
      <c r="B13" t="s">
        <v>100</v>
      </c>
      <c r="C13" s="18">
        <v>270</v>
      </c>
      <c r="D13" t="s">
        <v>113</v>
      </c>
      <c r="E13" s="18">
        <f>F8</f>
        <v>78</v>
      </c>
    </row>
    <row r="14" spans="1:8" x14ac:dyDescent="0.25">
      <c r="B14" t="s">
        <v>101</v>
      </c>
      <c r="C14" s="18">
        <v>300</v>
      </c>
      <c r="D14" t="s">
        <v>113</v>
      </c>
      <c r="E14" s="18">
        <f>G8</f>
        <v>90</v>
      </c>
    </row>
    <row r="16" spans="1:8" x14ac:dyDescent="0.25">
      <c r="B16" t="s">
        <v>114</v>
      </c>
      <c r="C16" t="str">
        <f>IF(AND(E11&lt;=C11,E12&lt;=C12,E13&lt;=C13,E14&lt;=C14),"IGEN","NEM")</f>
        <v>IGEN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pane ySplit="3" topLeftCell="A4" activePane="bottomLeft" state="frozen"/>
      <selection pane="bottomLeft" activeCell="C11" sqref="C11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46</v>
      </c>
      <c r="C2" s="3">
        <v>350</v>
      </c>
      <c r="D2" s="4">
        <v>320</v>
      </c>
      <c r="E2" s="5">
        <v>42</v>
      </c>
      <c r="F2" s="5">
        <v>10</v>
      </c>
      <c r="G2" s="5">
        <v>14</v>
      </c>
      <c r="H2" s="6">
        <v>4</v>
      </c>
    </row>
    <row r="3" spans="1:8" x14ac:dyDescent="0.25">
      <c r="A3" s="2" t="s">
        <v>104</v>
      </c>
      <c r="B3" s="7" t="s">
        <v>14</v>
      </c>
      <c r="C3" s="3">
        <v>500</v>
      </c>
      <c r="D3" s="4">
        <v>410</v>
      </c>
      <c r="E3" s="5">
        <v>38</v>
      </c>
      <c r="F3" s="5">
        <v>18</v>
      </c>
      <c r="G3" s="5">
        <v>22</v>
      </c>
      <c r="H3" s="6">
        <v>4</v>
      </c>
    </row>
    <row r="4" spans="1:8" x14ac:dyDescent="0.25">
      <c r="A4" s="2" t="s">
        <v>105</v>
      </c>
      <c r="B4" s="7" t="s">
        <v>20</v>
      </c>
      <c r="C4" s="3">
        <v>400</v>
      </c>
      <c r="D4" s="4">
        <v>550</v>
      </c>
      <c r="E4" s="5">
        <v>72</v>
      </c>
      <c r="F4" s="5">
        <v>18</v>
      </c>
      <c r="G4" s="5">
        <v>20</v>
      </c>
      <c r="H4" s="6">
        <v>4</v>
      </c>
    </row>
    <row r="5" spans="1:8" x14ac:dyDescent="0.25">
      <c r="A5" s="2" t="s">
        <v>106</v>
      </c>
      <c r="B5" s="7" t="s">
        <v>64</v>
      </c>
      <c r="C5" s="3">
        <v>650</v>
      </c>
      <c r="D5" s="4">
        <v>590</v>
      </c>
      <c r="E5" s="5">
        <v>85</v>
      </c>
      <c r="F5" s="5">
        <v>18</v>
      </c>
      <c r="G5" s="5">
        <v>16</v>
      </c>
      <c r="H5" s="6">
        <v>4</v>
      </c>
    </row>
    <row r="6" spans="1:8" x14ac:dyDescent="0.25">
      <c r="A6" s="2" t="s">
        <v>107</v>
      </c>
      <c r="B6" s="7" t="s">
        <v>62</v>
      </c>
      <c r="C6" s="3">
        <v>550</v>
      </c>
      <c r="D6" s="4">
        <v>520</v>
      </c>
      <c r="E6" s="5">
        <v>55</v>
      </c>
      <c r="F6" s="5">
        <v>18</v>
      </c>
      <c r="G6" s="5">
        <v>28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2450</v>
      </c>
      <c r="D8" s="22">
        <f t="shared" si="0"/>
        <v>2390</v>
      </c>
      <c r="E8" s="23">
        <f t="shared" si="0"/>
        <v>292</v>
      </c>
      <c r="F8" s="23">
        <f t="shared" si="0"/>
        <v>82</v>
      </c>
      <c r="G8" s="23">
        <f t="shared" si="0"/>
        <v>100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4000</v>
      </c>
      <c r="D11" t="s">
        <v>113</v>
      </c>
      <c r="E11" s="17">
        <f>D8</f>
        <v>2390</v>
      </c>
    </row>
    <row r="12" spans="1:8" x14ac:dyDescent="0.25">
      <c r="B12" t="s">
        <v>99</v>
      </c>
      <c r="C12" s="18">
        <v>350</v>
      </c>
      <c r="D12" t="s">
        <v>113</v>
      </c>
      <c r="E12" s="18">
        <f>E8</f>
        <v>292</v>
      </c>
    </row>
    <row r="13" spans="1:8" x14ac:dyDescent="0.25">
      <c r="B13" t="s">
        <v>100</v>
      </c>
      <c r="C13" s="18">
        <v>270</v>
      </c>
      <c r="D13" t="s">
        <v>113</v>
      </c>
      <c r="E13" s="18">
        <f>F8</f>
        <v>82</v>
      </c>
    </row>
    <row r="14" spans="1:8" x14ac:dyDescent="0.25">
      <c r="B14" t="s">
        <v>101</v>
      </c>
      <c r="C14" s="18">
        <v>300</v>
      </c>
      <c r="D14" t="s">
        <v>113</v>
      </c>
      <c r="E14" s="18">
        <f>G8</f>
        <v>100</v>
      </c>
    </row>
    <row r="16" spans="1:8" x14ac:dyDescent="0.25">
      <c r="B16" t="s">
        <v>114</v>
      </c>
      <c r="C16" t="str">
        <f>IF(AND(E11&lt;=C11,E12&lt;=C12,E13&lt;=C13,E14&lt;=C14),"IGEN","NEM")</f>
        <v>IGEN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workbookViewId="0">
      <pane ySplit="3" topLeftCell="A4" activePane="bottomLeft" state="frozen"/>
      <selection pane="bottomLeft" activeCell="G31" sqref="G31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40</v>
      </c>
      <c r="C2" s="3">
        <v>900</v>
      </c>
      <c r="D2" s="4">
        <v>280</v>
      </c>
      <c r="E2" s="5">
        <v>10</v>
      </c>
      <c r="F2" s="5">
        <v>22</v>
      </c>
      <c r="G2" s="5">
        <v>8</v>
      </c>
      <c r="H2" s="6">
        <v>4</v>
      </c>
    </row>
    <row r="3" spans="1:8" x14ac:dyDescent="0.25">
      <c r="A3" s="2" t="s">
        <v>104</v>
      </c>
      <c r="B3" s="7" t="s">
        <v>58</v>
      </c>
      <c r="C3" s="3">
        <v>1800</v>
      </c>
      <c r="D3" s="4">
        <v>410</v>
      </c>
      <c r="E3" s="5">
        <v>8</v>
      </c>
      <c r="F3" s="5">
        <v>28</v>
      </c>
      <c r="G3" s="5">
        <v>32</v>
      </c>
      <c r="H3" s="6">
        <v>4</v>
      </c>
    </row>
    <row r="4" spans="1:8" x14ac:dyDescent="0.25">
      <c r="A4" s="2" t="s">
        <v>105</v>
      </c>
      <c r="B4" s="7" t="s">
        <v>40</v>
      </c>
      <c r="C4" s="3">
        <v>900</v>
      </c>
      <c r="D4" s="4">
        <v>280</v>
      </c>
      <c r="E4" s="5">
        <v>10</v>
      </c>
      <c r="F4" s="5">
        <v>22</v>
      </c>
      <c r="G4" s="5">
        <v>8</v>
      </c>
      <c r="H4" s="6">
        <v>4</v>
      </c>
    </row>
    <row r="5" spans="1:8" x14ac:dyDescent="0.25">
      <c r="A5" s="2" t="s">
        <v>106</v>
      </c>
      <c r="B5" s="7" t="s">
        <v>40</v>
      </c>
      <c r="C5" s="3">
        <v>900</v>
      </c>
      <c r="D5" s="4">
        <v>280</v>
      </c>
      <c r="E5" s="5">
        <v>10</v>
      </c>
      <c r="F5" s="5">
        <v>22</v>
      </c>
      <c r="G5" s="5">
        <v>8</v>
      </c>
      <c r="H5" s="6">
        <v>4</v>
      </c>
    </row>
    <row r="6" spans="1:8" x14ac:dyDescent="0.25">
      <c r="A6" s="2" t="s">
        <v>107</v>
      </c>
      <c r="B6" s="7" t="s">
        <v>40</v>
      </c>
      <c r="C6" s="3">
        <v>900</v>
      </c>
      <c r="D6" s="4">
        <v>280</v>
      </c>
      <c r="E6" s="5">
        <v>10</v>
      </c>
      <c r="F6" s="5">
        <v>22</v>
      </c>
      <c r="G6" s="5">
        <v>8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5400</v>
      </c>
      <c r="D8" s="22">
        <f t="shared" si="0"/>
        <v>1530</v>
      </c>
      <c r="E8" s="23">
        <f t="shared" si="0"/>
        <v>48</v>
      </c>
      <c r="F8" s="23">
        <f t="shared" si="0"/>
        <v>116</v>
      </c>
      <c r="G8" s="23">
        <f t="shared" si="0"/>
        <v>64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2100</v>
      </c>
      <c r="D11" t="s">
        <v>113</v>
      </c>
      <c r="E11" s="17">
        <f>D8</f>
        <v>1530</v>
      </c>
    </row>
    <row r="12" spans="1:8" x14ac:dyDescent="0.25">
      <c r="B12" t="s">
        <v>99</v>
      </c>
      <c r="C12" s="18">
        <v>50</v>
      </c>
      <c r="D12" t="s">
        <v>113</v>
      </c>
      <c r="E12" s="18">
        <f>E8</f>
        <v>48</v>
      </c>
    </row>
    <row r="13" spans="1:8" x14ac:dyDescent="0.25">
      <c r="B13" t="s">
        <v>100</v>
      </c>
      <c r="C13" s="18">
        <v>200</v>
      </c>
      <c r="D13" t="s">
        <v>113</v>
      </c>
      <c r="E13" s="18">
        <f>F8</f>
        <v>116</v>
      </c>
    </row>
    <row r="14" spans="1:8" x14ac:dyDescent="0.25">
      <c r="B14" t="s">
        <v>101</v>
      </c>
      <c r="C14" s="18">
        <v>180</v>
      </c>
      <c r="D14" t="s">
        <v>113</v>
      </c>
      <c r="E14" s="18">
        <f>G8</f>
        <v>64</v>
      </c>
    </row>
    <row r="16" spans="1:8" x14ac:dyDescent="0.25">
      <c r="B16" t="s">
        <v>114</v>
      </c>
      <c r="C16" t="str">
        <f>IF(AND(E11&lt;=C11,E12&lt;=C12,E13&lt;=C13,E14&lt;=C14),"IGEN","NEM")</f>
        <v>IGEN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"/>
  <sheetViews>
    <sheetView workbookViewId="0">
      <pane ySplit="3" topLeftCell="A4" activePane="bottomLeft" state="frozen"/>
      <selection pane="bottomLeft" activeCell="H30" sqref="H30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58</v>
      </c>
      <c r="C2" s="3">
        <v>1800</v>
      </c>
      <c r="D2" s="4">
        <v>410</v>
      </c>
      <c r="E2" s="5">
        <v>8</v>
      </c>
      <c r="F2" s="5">
        <v>28</v>
      </c>
      <c r="G2" s="5">
        <v>32</v>
      </c>
      <c r="H2" s="6">
        <v>4</v>
      </c>
    </row>
    <row r="3" spans="1:8" x14ac:dyDescent="0.25">
      <c r="A3" s="2" t="s">
        <v>104</v>
      </c>
      <c r="B3" s="7" t="s">
        <v>58</v>
      </c>
      <c r="C3" s="3">
        <v>1800</v>
      </c>
      <c r="D3" s="4">
        <v>410</v>
      </c>
      <c r="E3" s="5">
        <v>8</v>
      </c>
      <c r="F3" s="5">
        <v>28</v>
      </c>
      <c r="G3" s="5">
        <v>32</v>
      </c>
      <c r="H3" s="6">
        <v>4</v>
      </c>
    </row>
    <row r="4" spans="1:8" x14ac:dyDescent="0.25">
      <c r="A4" s="2" t="s">
        <v>105</v>
      </c>
      <c r="B4" s="7" t="s">
        <v>40</v>
      </c>
      <c r="C4" s="3">
        <v>900</v>
      </c>
      <c r="D4" s="4">
        <v>280</v>
      </c>
      <c r="E4" s="5">
        <v>10</v>
      </c>
      <c r="F4" s="5">
        <v>22</v>
      </c>
      <c r="G4" s="5">
        <v>8</v>
      </c>
      <c r="H4" s="6">
        <v>4</v>
      </c>
    </row>
    <row r="5" spans="1:8" x14ac:dyDescent="0.25">
      <c r="A5" s="2" t="s">
        <v>106</v>
      </c>
      <c r="B5" s="7" t="s">
        <v>18</v>
      </c>
      <c r="C5" s="3">
        <v>1700</v>
      </c>
      <c r="D5" s="4">
        <v>380</v>
      </c>
      <c r="E5" s="5">
        <v>12</v>
      </c>
      <c r="F5" s="5">
        <v>22</v>
      </c>
      <c r="G5" s="5">
        <v>32</v>
      </c>
      <c r="H5" s="6">
        <v>4</v>
      </c>
    </row>
    <row r="6" spans="1:8" x14ac:dyDescent="0.25">
      <c r="A6" s="2" t="s">
        <v>107</v>
      </c>
      <c r="B6" s="7" t="s">
        <v>18</v>
      </c>
      <c r="C6" s="3">
        <v>1700</v>
      </c>
      <c r="D6" s="4">
        <v>380</v>
      </c>
      <c r="E6" s="5">
        <v>12</v>
      </c>
      <c r="F6" s="5">
        <v>22</v>
      </c>
      <c r="G6" s="5">
        <v>32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7900</v>
      </c>
      <c r="D8" s="22">
        <f t="shared" si="0"/>
        <v>1860</v>
      </c>
      <c r="E8" s="23">
        <f t="shared" si="0"/>
        <v>50</v>
      </c>
      <c r="F8" s="23">
        <f t="shared" si="0"/>
        <v>122</v>
      </c>
      <c r="G8" s="23">
        <f t="shared" si="0"/>
        <v>136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2100</v>
      </c>
      <c r="D11" t="s">
        <v>113</v>
      </c>
      <c r="E11" s="17">
        <f>D8</f>
        <v>1860</v>
      </c>
    </row>
    <row r="12" spans="1:8" x14ac:dyDescent="0.25">
      <c r="B12" t="s">
        <v>99</v>
      </c>
      <c r="C12" s="18">
        <v>50</v>
      </c>
      <c r="D12" t="s">
        <v>113</v>
      </c>
      <c r="E12" s="18">
        <f>E8</f>
        <v>50</v>
      </c>
    </row>
    <row r="13" spans="1:8" x14ac:dyDescent="0.25">
      <c r="B13" t="s">
        <v>100</v>
      </c>
      <c r="C13" s="18">
        <v>200</v>
      </c>
      <c r="D13" t="s">
        <v>113</v>
      </c>
      <c r="E13" s="18">
        <f>F8</f>
        <v>122</v>
      </c>
    </row>
    <row r="14" spans="1:8" x14ac:dyDescent="0.25">
      <c r="B14" t="s">
        <v>101</v>
      </c>
      <c r="C14" s="18">
        <v>180</v>
      </c>
      <c r="D14" t="s">
        <v>113</v>
      </c>
      <c r="E14" s="18">
        <f>G8</f>
        <v>136</v>
      </c>
    </row>
    <row r="16" spans="1:8" x14ac:dyDescent="0.25">
      <c r="B16" t="s">
        <v>114</v>
      </c>
      <c r="C16" t="str">
        <f>IF(AND(E11&lt;=C11,E12&lt;=C12,E13&lt;=C13,E14&lt;=C14),"IGEN","NEM")</f>
        <v>IGEN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workbookViewId="0">
      <pane ySplit="3" topLeftCell="A4" activePane="bottomLeft" state="frozen"/>
      <selection pane="bottomLeft" activeCell="H35" sqref="H35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60</v>
      </c>
      <c r="C2" s="3">
        <v>400</v>
      </c>
      <c r="D2" s="4">
        <v>310</v>
      </c>
      <c r="E2" s="5">
        <v>15</v>
      </c>
      <c r="F2" s="5">
        <v>22</v>
      </c>
      <c r="G2" s="5">
        <v>14</v>
      </c>
      <c r="H2" s="6">
        <v>4</v>
      </c>
    </row>
    <row r="3" spans="1:8" x14ac:dyDescent="0.25">
      <c r="A3" s="2" t="s">
        <v>104</v>
      </c>
      <c r="B3" s="7" t="s">
        <v>46</v>
      </c>
      <c r="C3" s="3">
        <v>350</v>
      </c>
      <c r="D3" s="4">
        <v>320</v>
      </c>
      <c r="E3" s="5">
        <v>42</v>
      </c>
      <c r="F3" s="5">
        <v>10</v>
      </c>
      <c r="G3" s="5">
        <v>14</v>
      </c>
      <c r="H3" s="6">
        <v>4</v>
      </c>
    </row>
    <row r="4" spans="1:8" x14ac:dyDescent="0.25">
      <c r="A4" s="2" t="s">
        <v>105</v>
      </c>
      <c r="B4" s="7" t="s">
        <v>50</v>
      </c>
      <c r="C4" s="3">
        <v>650</v>
      </c>
      <c r="D4" s="4">
        <v>210</v>
      </c>
      <c r="E4" s="5">
        <v>18</v>
      </c>
      <c r="F4" s="5">
        <v>8</v>
      </c>
      <c r="G4" s="5">
        <v>16</v>
      </c>
      <c r="H4" s="6">
        <v>4</v>
      </c>
    </row>
    <row r="5" spans="1:8" x14ac:dyDescent="0.25">
      <c r="A5" s="2" t="s">
        <v>106</v>
      </c>
      <c r="B5" s="7" t="s">
        <v>32</v>
      </c>
      <c r="C5" s="3">
        <v>550</v>
      </c>
      <c r="D5" s="4">
        <v>380</v>
      </c>
      <c r="E5" s="5">
        <v>45</v>
      </c>
      <c r="F5" s="5">
        <v>18</v>
      </c>
      <c r="G5" s="5">
        <v>10</v>
      </c>
      <c r="H5" s="6">
        <v>4</v>
      </c>
    </row>
    <row r="6" spans="1:8" x14ac:dyDescent="0.25">
      <c r="A6" s="2" t="s">
        <v>107</v>
      </c>
      <c r="B6" s="7" t="s">
        <v>24</v>
      </c>
      <c r="C6" s="3">
        <v>450</v>
      </c>
      <c r="D6" s="4">
        <v>180</v>
      </c>
      <c r="E6" s="5">
        <v>25</v>
      </c>
      <c r="F6" s="5">
        <v>6</v>
      </c>
      <c r="G6" s="5">
        <v>5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2400</v>
      </c>
      <c r="D8" s="22">
        <f t="shared" si="0"/>
        <v>1400</v>
      </c>
      <c r="E8" s="23">
        <f t="shared" si="0"/>
        <v>145</v>
      </c>
      <c r="F8" s="23">
        <f t="shared" si="0"/>
        <v>64</v>
      </c>
      <c r="G8" s="23">
        <f t="shared" si="0"/>
        <v>59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1600</v>
      </c>
      <c r="D11" t="s">
        <v>113</v>
      </c>
      <c r="E11" s="17">
        <f>D8</f>
        <v>1400</v>
      </c>
    </row>
    <row r="12" spans="1:8" x14ac:dyDescent="0.25">
      <c r="B12" t="s">
        <v>99</v>
      </c>
      <c r="C12" s="18">
        <v>250</v>
      </c>
      <c r="D12" t="s">
        <v>113</v>
      </c>
      <c r="E12" s="18">
        <f>E8</f>
        <v>145</v>
      </c>
    </row>
    <row r="13" spans="1:8" x14ac:dyDescent="0.25">
      <c r="B13" t="s">
        <v>100</v>
      </c>
      <c r="C13" s="18">
        <v>160</v>
      </c>
      <c r="D13" t="s">
        <v>113</v>
      </c>
      <c r="E13" s="18">
        <f>F8</f>
        <v>64</v>
      </c>
    </row>
    <row r="14" spans="1:8" x14ac:dyDescent="0.25">
      <c r="B14" t="s">
        <v>101</v>
      </c>
      <c r="C14" s="18">
        <v>150</v>
      </c>
      <c r="D14" t="s">
        <v>113</v>
      </c>
      <c r="E14" s="18">
        <f>G8</f>
        <v>59</v>
      </c>
    </row>
    <row r="16" spans="1:8" x14ac:dyDescent="0.25">
      <c r="B16" t="s">
        <v>114</v>
      </c>
      <c r="C16" t="str">
        <f>IF(AND(E11&lt;=C11,E12&lt;=C12,E13&lt;=C13,E14&lt;=C14),"IGEN","NEM")</f>
        <v>IGEN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workbookViewId="0">
      <pane ySplit="3" topLeftCell="A4" activePane="bottomLeft" state="frozen"/>
      <selection pane="bottomLeft" activeCell="J33" sqref="J33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50</v>
      </c>
      <c r="C2" s="3">
        <v>650</v>
      </c>
      <c r="D2" s="4">
        <v>210</v>
      </c>
      <c r="E2" s="5">
        <v>18</v>
      </c>
      <c r="F2" s="5">
        <v>8</v>
      </c>
      <c r="G2" s="5">
        <v>16</v>
      </c>
      <c r="H2" s="6">
        <v>4</v>
      </c>
    </row>
    <row r="3" spans="1:8" x14ac:dyDescent="0.25">
      <c r="A3" s="2" t="s">
        <v>104</v>
      </c>
      <c r="B3" s="7" t="s">
        <v>46</v>
      </c>
      <c r="C3" s="3">
        <v>350</v>
      </c>
      <c r="D3" s="4">
        <v>320</v>
      </c>
      <c r="E3" s="5">
        <v>42</v>
      </c>
      <c r="F3" s="5">
        <v>10</v>
      </c>
      <c r="G3" s="5">
        <v>14</v>
      </c>
      <c r="H3" s="6">
        <v>4</v>
      </c>
    </row>
    <row r="4" spans="1:8" x14ac:dyDescent="0.25">
      <c r="A4" s="2" t="s">
        <v>105</v>
      </c>
      <c r="B4" s="7" t="s">
        <v>32</v>
      </c>
      <c r="C4" s="3">
        <v>550</v>
      </c>
      <c r="D4" s="4">
        <v>380</v>
      </c>
      <c r="E4" s="5">
        <v>45</v>
      </c>
      <c r="F4" s="5">
        <v>18</v>
      </c>
      <c r="G4" s="5">
        <v>10</v>
      </c>
      <c r="H4" s="6">
        <v>4</v>
      </c>
    </row>
    <row r="5" spans="1:8" x14ac:dyDescent="0.25">
      <c r="A5" s="2" t="s">
        <v>106</v>
      </c>
      <c r="B5" s="7" t="s">
        <v>40</v>
      </c>
      <c r="C5" s="3">
        <v>900</v>
      </c>
      <c r="D5" s="4">
        <v>280</v>
      </c>
      <c r="E5" s="5">
        <v>10</v>
      </c>
      <c r="F5" s="5">
        <v>22</v>
      </c>
      <c r="G5" s="5">
        <v>8</v>
      </c>
      <c r="H5" s="6">
        <v>4</v>
      </c>
    </row>
    <row r="6" spans="1:8" x14ac:dyDescent="0.25">
      <c r="A6" s="2" t="s">
        <v>107</v>
      </c>
      <c r="B6" s="7" t="s">
        <v>14</v>
      </c>
      <c r="C6" s="3">
        <v>500</v>
      </c>
      <c r="D6" s="4">
        <v>410</v>
      </c>
      <c r="E6" s="5">
        <v>38</v>
      </c>
      <c r="F6" s="5">
        <v>18</v>
      </c>
      <c r="G6" s="5">
        <v>22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2950</v>
      </c>
      <c r="D8" s="22">
        <f t="shared" si="0"/>
        <v>1600</v>
      </c>
      <c r="E8" s="23">
        <f t="shared" si="0"/>
        <v>153</v>
      </c>
      <c r="F8" s="23">
        <f t="shared" si="0"/>
        <v>76</v>
      </c>
      <c r="G8" s="23">
        <f t="shared" si="0"/>
        <v>70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1600</v>
      </c>
      <c r="D11" t="s">
        <v>113</v>
      </c>
      <c r="E11" s="17">
        <f>D8</f>
        <v>1600</v>
      </c>
    </row>
    <row r="12" spans="1:8" x14ac:dyDescent="0.25">
      <c r="B12" t="s">
        <v>99</v>
      </c>
      <c r="C12" s="18">
        <v>250</v>
      </c>
      <c r="D12" t="s">
        <v>113</v>
      </c>
      <c r="E12" s="18">
        <f>E8</f>
        <v>153</v>
      </c>
    </row>
    <row r="13" spans="1:8" x14ac:dyDescent="0.25">
      <c r="B13" t="s">
        <v>100</v>
      </c>
      <c r="C13" s="18">
        <v>160</v>
      </c>
      <c r="D13" t="s">
        <v>113</v>
      </c>
      <c r="E13" s="18">
        <f>F8</f>
        <v>76</v>
      </c>
    </row>
    <row r="14" spans="1:8" x14ac:dyDescent="0.25">
      <c r="B14" t="s">
        <v>101</v>
      </c>
      <c r="C14" s="18">
        <v>150</v>
      </c>
      <c r="D14" t="s">
        <v>113</v>
      </c>
      <c r="E14" s="18">
        <f>G8</f>
        <v>70</v>
      </c>
    </row>
    <row r="16" spans="1:8" x14ac:dyDescent="0.25">
      <c r="B16" t="s">
        <v>114</v>
      </c>
      <c r="C16" t="str">
        <f>IF(AND(E11&lt;=C11,E12&lt;=C12,E13&lt;=C13,E14&lt;=C14),"IGEN","NEM")</f>
        <v>IGEN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workbookViewId="0">
      <pane ySplit="3" topLeftCell="A4" activePane="bottomLeft" state="frozen"/>
      <selection pane="bottomLeft" sqref="A1:M17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60</v>
      </c>
      <c r="C2" s="3">
        <v>400</v>
      </c>
      <c r="D2" s="4">
        <v>310</v>
      </c>
      <c r="E2" s="5">
        <v>15</v>
      </c>
      <c r="F2" s="5">
        <v>22</v>
      </c>
      <c r="G2" s="5">
        <v>14</v>
      </c>
      <c r="H2" s="6">
        <v>4</v>
      </c>
    </row>
    <row r="3" spans="1:8" x14ac:dyDescent="0.25">
      <c r="A3" s="2" t="s">
        <v>104</v>
      </c>
      <c r="B3" s="7" t="s">
        <v>60</v>
      </c>
      <c r="C3" s="3">
        <v>400</v>
      </c>
      <c r="D3" s="4">
        <v>310</v>
      </c>
      <c r="E3" s="5">
        <v>15</v>
      </c>
      <c r="F3" s="5">
        <v>22</v>
      </c>
      <c r="G3" s="5">
        <v>14</v>
      </c>
      <c r="H3" s="6">
        <v>4</v>
      </c>
    </row>
    <row r="4" spans="1:8" x14ac:dyDescent="0.25">
      <c r="A4" s="2" t="s">
        <v>105</v>
      </c>
      <c r="B4" s="7" t="s">
        <v>58</v>
      </c>
      <c r="C4" s="3">
        <v>1800</v>
      </c>
      <c r="D4" s="4">
        <v>410</v>
      </c>
      <c r="E4" s="5">
        <v>8</v>
      </c>
      <c r="F4" s="5">
        <v>28</v>
      </c>
      <c r="G4" s="5">
        <v>32</v>
      </c>
      <c r="H4" s="6">
        <v>4</v>
      </c>
    </row>
    <row r="5" spans="1:8" x14ac:dyDescent="0.25">
      <c r="A5" s="2" t="s">
        <v>106</v>
      </c>
      <c r="B5" s="7" t="s">
        <v>40</v>
      </c>
      <c r="C5" s="3">
        <v>900</v>
      </c>
      <c r="D5" s="4">
        <v>280</v>
      </c>
      <c r="E5" s="5">
        <v>10</v>
      </c>
      <c r="F5" s="5">
        <v>22</v>
      </c>
      <c r="G5" s="5">
        <v>8</v>
      </c>
      <c r="H5" s="6">
        <v>4</v>
      </c>
    </row>
    <row r="6" spans="1:8" x14ac:dyDescent="0.25">
      <c r="A6" s="2" t="s">
        <v>107</v>
      </c>
      <c r="B6" s="7" t="s">
        <v>40</v>
      </c>
      <c r="C6" s="3">
        <v>900</v>
      </c>
      <c r="D6" s="4">
        <v>280</v>
      </c>
      <c r="E6" s="5">
        <v>10</v>
      </c>
      <c r="F6" s="5">
        <v>22</v>
      </c>
      <c r="G6" s="5">
        <v>8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4400</v>
      </c>
      <c r="D8" s="22">
        <f t="shared" si="0"/>
        <v>1590</v>
      </c>
      <c r="E8" s="23">
        <f t="shared" si="0"/>
        <v>58</v>
      </c>
      <c r="F8" s="23">
        <f t="shared" si="0"/>
        <v>116</v>
      </c>
      <c r="G8" s="23">
        <f t="shared" si="0"/>
        <v>76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2100</v>
      </c>
      <c r="D11" t="s">
        <v>113</v>
      </c>
      <c r="E11" s="17">
        <f>D8</f>
        <v>1590</v>
      </c>
    </row>
    <row r="12" spans="1:8" x14ac:dyDescent="0.25">
      <c r="B12" t="s">
        <v>99</v>
      </c>
      <c r="C12" s="18">
        <v>70</v>
      </c>
      <c r="D12" t="s">
        <v>113</v>
      </c>
      <c r="E12" s="18">
        <f>E8</f>
        <v>58</v>
      </c>
    </row>
    <row r="13" spans="1:8" x14ac:dyDescent="0.25">
      <c r="B13" t="s">
        <v>100</v>
      </c>
      <c r="C13" s="18">
        <v>180</v>
      </c>
      <c r="D13" t="s">
        <v>113</v>
      </c>
      <c r="E13" s="18">
        <f>F8</f>
        <v>116</v>
      </c>
    </row>
    <row r="14" spans="1:8" x14ac:dyDescent="0.25">
      <c r="B14" t="s">
        <v>101</v>
      </c>
      <c r="C14" s="18">
        <v>200</v>
      </c>
      <c r="D14" t="s">
        <v>113</v>
      </c>
      <c r="E14" s="18">
        <f>G8</f>
        <v>76</v>
      </c>
    </row>
    <row r="16" spans="1:8" x14ac:dyDescent="0.25">
      <c r="B16" t="s">
        <v>114</v>
      </c>
      <c r="C16" t="str">
        <f>IF(AND(E11&lt;=C11,E12&lt;=C12,E13&lt;=C13,E14&lt;=C14),"IGEN","NEM")</f>
        <v>IGEN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"/>
  <sheetViews>
    <sheetView workbookViewId="0">
      <pane ySplit="3" topLeftCell="A4" activePane="bottomLeft" state="frozen"/>
      <selection pane="bottomLeft" sqref="A1:T34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40</v>
      </c>
      <c r="C2" s="3">
        <v>900</v>
      </c>
      <c r="D2" s="4">
        <v>280</v>
      </c>
      <c r="E2" s="5">
        <v>10</v>
      </c>
      <c r="F2" s="5">
        <v>22</v>
      </c>
      <c r="G2" s="5">
        <v>8</v>
      </c>
      <c r="H2" s="6">
        <v>4</v>
      </c>
    </row>
    <row r="3" spans="1:8" x14ac:dyDescent="0.25">
      <c r="A3" s="2" t="s">
        <v>104</v>
      </c>
      <c r="B3" s="7" t="s">
        <v>50</v>
      </c>
      <c r="C3" s="3">
        <v>650</v>
      </c>
      <c r="D3" s="4">
        <v>210</v>
      </c>
      <c r="E3" s="5">
        <v>18</v>
      </c>
      <c r="F3" s="5">
        <v>8</v>
      </c>
      <c r="G3" s="5">
        <v>16</v>
      </c>
      <c r="H3" s="6">
        <v>4</v>
      </c>
    </row>
    <row r="4" spans="1:8" x14ac:dyDescent="0.25">
      <c r="A4" s="2" t="s">
        <v>105</v>
      </c>
      <c r="B4" s="7" t="s">
        <v>60</v>
      </c>
      <c r="C4" s="3">
        <v>400</v>
      </c>
      <c r="D4" s="4">
        <v>310</v>
      </c>
      <c r="E4" s="5">
        <v>15</v>
      </c>
      <c r="F4" s="5">
        <v>22</v>
      </c>
      <c r="G4" s="5">
        <v>14</v>
      </c>
      <c r="H4" s="6">
        <v>4</v>
      </c>
    </row>
    <row r="5" spans="1:8" x14ac:dyDescent="0.25">
      <c r="A5" s="2" t="s">
        <v>106</v>
      </c>
      <c r="B5" s="7" t="s">
        <v>52</v>
      </c>
      <c r="C5" s="3">
        <v>950</v>
      </c>
      <c r="D5" s="4">
        <v>540</v>
      </c>
      <c r="E5" s="5">
        <v>15</v>
      </c>
      <c r="F5" s="5">
        <v>38</v>
      </c>
      <c r="G5" s="5">
        <v>28</v>
      </c>
      <c r="H5" s="6">
        <v>4</v>
      </c>
    </row>
    <row r="6" spans="1:8" x14ac:dyDescent="0.25">
      <c r="A6" s="2" t="s">
        <v>107</v>
      </c>
      <c r="B6" s="7" t="s">
        <v>18</v>
      </c>
      <c r="C6" s="3">
        <v>1700</v>
      </c>
      <c r="D6" s="4">
        <v>380</v>
      </c>
      <c r="E6" s="5">
        <v>12</v>
      </c>
      <c r="F6" s="5">
        <v>22</v>
      </c>
      <c r="G6" s="5">
        <v>32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4600</v>
      </c>
      <c r="D8" s="22">
        <f t="shared" si="0"/>
        <v>1720</v>
      </c>
      <c r="E8" s="23">
        <f t="shared" si="0"/>
        <v>70</v>
      </c>
      <c r="F8" s="23">
        <f t="shared" si="0"/>
        <v>112</v>
      </c>
      <c r="G8" s="23">
        <f t="shared" si="0"/>
        <v>98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2100</v>
      </c>
      <c r="D11" t="s">
        <v>113</v>
      </c>
      <c r="E11" s="17">
        <f>D8</f>
        <v>1720</v>
      </c>
    </row>
    <row r="12" spans="1:8" x14ac:dyDescent="0.25">
      <c r="B12" t="s">
        <v>99</v>
      </c>
      <c r="C12" s="18">
        <v>70</v>
      </c>
      <c r="D12" t="s">
        <v>113</v>
      </c>
      <c r="E12" s="18">
        <f>E8</f>
        <v>70</v>
      </c>
    </row>
    <row r="13" spans="1:8" x14ac:dyDescent="0.25">
      <c r="B13" t="s">
        <v>100</v>
      </c>
      <c r="C13" s="18">
        <v>180</v>
      </c>
      <c r="D13" t="s">
        <v>113</v>
      </c>
      <c r="E13" s="18">
        <f>F8</f>
        <v>112</v>
      </c>
    </row>
    <row r="14" spans="1:8" x14ac:dyDescent="0.25">
      <c r="B14" t="s">
        <v>101</v>
      </c>
      <c r="C14" s="18">
        <v>200</v>
      </c>
      <c r="D14" t="s">
        <v>113</v>
      </c>
      <c r="E14" s="18">
        <f>G8</f>
        <v>98</v>
      </c>
    </row>
    <row r="16" spans="1:8" x14ac:dyDescent="0.25">
      <c r="B16" t="s">
        <v>114</v>
      </c>
      <c r="C16" t="str">
        <f>IF(AND(E11&lt;=C11,E12&lt;=C12,E13&lt;=C13,E14&lt;=C14),"IGEN","NEM")</f>
        <v>IGEN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6"/>
  <sheetViews>
    <sheetView workbookViewId="0">
      <pane ySplit="3" topLeftCell="A4" activePane="bottomLeft" state="frozen"/>
      <selection pane="bottomLeft" sqref="A1:L26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20</v>
      </c>
      <c r="C2" s="3">
        <v>400</v>
      </c>
      <c r="D2" s="4">
        <v>550</v>
      </c>
      <c r="E2" s="5">
        <v>72</v>
      </c>
      <c r="F2" s="5">
        <v>18</v>
      </c>
      <c r="G2" s="5">
        <v>20</v>
      </c>
      <c r="H2" s="6">
        <v>4</v>
      </c>
    </row>
    <row r="3" spans="1:8" x14ac:dyDescent="0.25">
      <c r="A3" s="2" t="s">
        <v>104</v>
      </c>
      <c r="B3" s="7" t="s">
        <v>60</v>
      </c>
      <c r="C3" s="3">
        <v>400</v>
      </c>
      <c r="D3" s="4">
        <v>310</v>
      </c>
      <c r="E3" s="5">
        <v>15</v>
      </c>
      <c r="F3" s="5">
        <v>22</v>
      </c>
      <c r="G3" s="5">
        <v>14</v>
      </c>
      <c r="H3" s="6">
        <v>4</v>
      </c>
    </row>
    <row r="4" spans="1:8" x14ac:dyDescent="0.25">
      <c r="A4" s="2" t="s">
        <v>105</v>
      </c>
      <c r="B4" s="7" t="s">
        <v>46</v>
      </c>
      <c r="C4" s="3">
        <v>350</v>
      </c>
      <c r="D4" s="4">
        <v>320</v>
      </c>
      <c r="E4" s="5">
        <v>42</v>
      </c>
      <c r="F4" s="5">
        <v>10</v>
      </c>
      <c r="G4" s="5">
        <v>14</v>
      </c>
      <c r="H4" s="6">
        <v>4</v>
      </c>
    </row>
    <row r="5" spans="1:8" x14ac:dyDescent="0.25">
      <c r="A5" s="2" t="s">
        <v>106</v>
      </c>
      <c r="B5" s="7" t="s">
        <v>14</v>
      </c>
      <c r="C5" s="3">
        <v>500</v>
      </c>
      <c r="D5" s="4">
        <v>410</v>
      </c>
      <c r="E5" s="5">
        <v>38</v>
      </c>
      <c r="F5" s="5">
        <v>18</v>
      </c>
      <c r="G5" s="5">
        <v>22</v>
      </c>
      <c r="H5" s="6">
        <v>4</v>
      </c>
    </row>
    <row r="6" spans="1:8" x14ac:dyDescent="0.25">
      <c r="A6" s="2" t="s">
        <v>107</v>
      </c>
      <c r="B6" s="7" t="s">
        <v>60</v>
      </c>
      <c r="C6" s="3">
        <v>400</v>
      </c>
      <c r="D6" s="4">
        <v>310</v>
      </c>
      <c r="E6" s="5">
        <v>15</v>
      </c>
      <c r="F6" s="5">
        <v>22</v>
      </c>
      <c r="G6" s="5">
        <v>14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2050</v>
      </c>
      <c r="D8" s="22">
        <f t="shared" si="0"/>
        <v>1900</v>
      </c>
      <c r="E8" s="23">
        <f t="shared" si="0"/>
        <v>182</v>
      </c>
      <c r="F8" s="23">
        <f t="shared" si="0"/>
        <v>90</v>
      </c>
      <c r="G8" s="23">
        <f t="shared" si="0"/>
        <v>84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2000</v>
      </c>
      <c r="D11" t="s">
        <v>113</v>
      </c>
      <c r="E11" s="17">
        <f>D8</f>
        <v>1900</v>
      </c>
    </row>
    <row r="12" spans="1:8" x14ac:dyDescent="0.25">
      <c r="B12" t="s">
        <v>99</v>
      </c>
      <c r="C12" s="18">
        <v>200</v>
      </c>
      <c r="D12" t="s">
        <v>113</v>
      </c>
      <c r="E12" s="18">
        <f>E8</f>
        <v>182</v>
      </c>
    </row>
    <row r="13" spans="1:8" x14ac:dyDescent="0.25">
      <c r="B13" t="s">
        <v>100</v>
      </c>
      <c r="C13" s="18">
        <v>150</v>
      </c>
      <c r="D13" t="s">
        <v>113</v>
      </c>
      <c r="E13" s="18">
        <f>F8</f>
        <v>90</v>
      </c>
    </row>
    <row r="14" spans="1:8" x14ac:dyDescent="0.25">
      <c r="B14" t="s">
        <v>101</v>
      </c>
      <c r="C14" s="18">
        <v>180</v>
      </c>
      <c r="D14" t="s">
        <v>113</v>
      </c>
      <c r="E14" s="18">
        <f>G8</f>
        <v>84</v>
      </c>
    </row>
    <row r="16" spans="1:8" x14ac:dyDescent="0.25">
      <c r="B16" t="s">
        <v>114</v>
      </c>
      <c r="C16" t="str">
        <f>IF(AND(E11&lt;=C11,E12&lt;=C12,E13&lt;=C13,E14&lt;=C14),"IGEN","NEM")</f>
        <v>IGEN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6"/>
  <sheetViews>
    <sheetView workbookViewId="0">
      <pane ySplit="3" topLeftCell="A4" activePane="bottomLeft" state="frozen"/>
      <selection pane="bottomLeft" sqref="A1:K21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14</v>
      </c>
      <c r="C2" s="3">
        <v>500</v>
      </c>
      <c r="D2" s="4">
        <v>410</v>
      </c>
      <c r="E2" s="5">
        <v>38</v>
      </c>
      <c r="F2" s="5">
        <v>18</v>
      </c>
      <c r="G2" s="5">
        <v>22</v>
      </c>
      <c r="H2" s="6">
        <v>4</v>
      </c>
    </row>
    <row r="3" spans="1:8" x14ac:dyDescent="0.25">
      <c r="A3" s="2" t="s">
        <v>104</v>
      </c>
      <c r="B3" s="7" t="s">
        <v>64</v>
      </c>
      <c r="C3" s="3">
        <v>650</v>
      </c>
      <c r="D3" s="4">
        <v>590</v>
      </c>
      <c r="E3" s="5">
        <v>85</v>
      </c>
      <c r="F3" s="5">
        <v>18</v>
      </c>
      <c r="G3" s="5">
        <v>16</v>
      </c>
      <c r="H3" s="6">
        <v>4</v>
      </c>
    </row>
    <row r="4" spans="1:8" x14ac:dyDescent="0.25">
      <c r="A4" s="2" t="s">
        <v>105</v>
      </c>
      <c r="B4" s="7" t="s">
        <v>50</v>
      </c>
      <c r="C4" s="3">
        <v>650</v>
      </c>
      <c r="D4" s="4">
        <v>210</v>
      </c>
      <c r="E4" s="5">
        <v>18</v>
      </c>
      <c r="F4" s="5">
        <v>8</v>
      </c>
      <c r="G4" s="5">
        <v>16</v>
      </c>
      <c r="H4" s="6">
        <v>4</v>
      </c>
    </row>
    <row r="5" spans="1:8" x14ac:dyDescent="0.25">
      <c r="A5" s="2" t="s">
        <v>106</v>
      </c>
      <c r="B5" s="7" t="s">
        <v>46</v>
      </c>
      <c r="C5" s="3">
        <v>350</v>
      </c>
      <c r="D5" s="4">
        <v>320</v>
      </c>
      <c r="E5" s="5">
        <v>42</v>
      </c>
      <c r="F5" s="5">
        <v>10</v>
      </c>
      <c r="G5" s="5">
        <v>14</v>
      </c>
      <c r="H5" s="6">
        <v>4</v>
      </c>
    </row>
    <row r="6" spans="1:8" x14ac:dyDescent="0.25">
      <c r="A6" s="2" t="s">
        <v>107</v>
      </c>
      <c r="B6" s="7" t="s">
        <v>60</v>
      </c>
      <c r="C6" s="3">
        <v>400</v>
      </c>
      <c r="D6" s="4">
        <v>310</v>
      </c>
      <c r="E6" s="5">
        <v>15</v>
      </c>
      <c r="F6" s="5">
        <v>22</v>
      </c>
      <c r="G6" s="5">
        <v>14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2550</v>
      </c>
      <c r="D8" s="22">
        <f t="shared" si="0"/>
        <v>1840</v>
      </c>
      <c r="E8" s="23">
        <f t="shared" si="0"/>
        <v>198</v>
      </c>
      <c r="F8" s="23">
        <f t="shared" si="0"/>
        <v>76</v>
      </c>
      <c r="G8" s="23">
        <f t="shared" si="0"/>
        <v>82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2000</v>
      </c>
      <c r="D11" t="s">
        <v>113</v>
      </c>
      <c r="E11" s="17">
        <f>D8</f>
        <v>1840</v>
      </c>
    </row>
    <row r="12" spans="1:8" x14ac:dyDescent="0.25">
      <c r="B12" t="s">
        <v>99</v>
      </c>
      <c r="C12" s="18">
        <v>200</v>
      </c>
      <c r="D12" t="s">
        <v>113</v>
      </c>
      <c r="E12" s="18">
        <f>E8</f>
        <v>198</v>
      </c>
    </row>
    <row r="13" spans="1:8" x14ac:dyDescent="0.25">
      <c r="B13" t="s">
        <v>100</v>
      </c>
      <c r="C13" s="18">
        <v>150</v>
      </c>
      <c r="D13" t="s">
        <v>113</v>
      </c>
      <c r="E13" s="18">
        <f>F8</f>
        <v>76</v>
      </c>
    </row>
    <row r="14" spans="1:8" x14ac:dyDescent="0.25">
      <c r="B14" t="s">
        <v>101</v>
      </c>
      <c r="C14" s="18">
        <v>180</v>
      </c>
      <c r="D14" t="s">
        <v>113</v>
      </c>
      <c r="E14" s="18">
        <f>G8</f>
        <v>82</v>
      </c>
    </row>
    <row r="16" spans="1:8" x14ac:dyDescent="0.25">
      <c r="B16" t="s">
        <v>114</v>
      </c>
      <c r="C16" t="str">
        <f>IF(AND(E11&lt;=C11,E12&lt;=C12,E13&lt;=C13,E14&lt;=C14),"IGEN","NEM")</f>
        <v>IGEN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6"/>
  <sheetViews>
    <sheetView workbookViewId="0">
      <pane ySplit="3" topLeftCell="A4" activePane="bottomLeft" state="frozen"/>
      <selection pane="bottomLeft" sqref="A1:I27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40</v>
      </c>
      <c r="C2" s="3">
        <v>900</v>
      </c>
      <c r="D2" s="4">
        <v>280</v>
      </c>
      <c r="E2" s="5">
        <v>10</v>
      </c>
      <c r="F2" s="5">
        <v>22</v>
      </c>
      <c r="G2" s="5">
        <v>8</v>
      </c>
      <c r="H2" s="6">
        <v>4</v>
      </c>
    </row>
    <row r="3" spans="1:8" x14ac:dyDescent="0.25">
      <c r="A3" s="2" t="s">
        <v>104</v>
      </c>
      <c r="B3" s="7" t="s">
        <v>60</v>
      </c>
      <c r="C3" s="3">
        <v>400</v>
      </c>
      <c r="D3" s="4">
        <v>310</v>
      </c>
      <c r="E3" s="5">
        <v>15</v>
      </c>
      <c r="F3" s="5">
        <v>22</v>
      </c>
      <c r="G3" s="5">
        <v>14</v>
      </c>
      <c r="H3" s="6">
        <v>4</v>
      </c>
    </row>
    <row r="4" spans="1:8" x14ac:dyDescent="0.25">
      <c r="A4" s="2" t="s">
        <v>105</v>
      </c>
      <c r="B4" s="7" t="s">
        <v>40</v>
      </c>
      <c r="C4" s="3">
        <v>900</v>
      </c>
      <c r="D4" s="4">
        <v>280</v>
      </c>
      <c r="E4" s="5">
        <v>10</v>
      </c>
      <c r="F4" s="5">
        <v>22</v>
      </c>
      <c r="G4" s="5">
        <v>8</v>
      </c>
      <c r="H4" s="6">
        <v>4</v>
      </c>
    </row>
    <row r="5" spans="1:8" x14ac:dyDescent="0.25">
      <c r="A5" s="2" t="s">
        <v>106</v>
      </c>
      <c r="B5" s="7" t="s">
        <v>24</v>
      </c>
      <c r="C5" s="3">
        <v>450</v>
      </c>
      <c r="D5" s="4">
        <v>180</v>
      </c>
      <c r="E5" s="5">
        <v>25</v>
      </c>
      <c r="F5" s="5">
        <v>6</v>
      </c>
      <c r="G5" s="5">
        <v>5</v>
      </c>
      <c r="H5" s="6">
        <v>4</v>
      </c>
    </row>
    <row r="6" spans="1:8" x14ac:dyDescent="0.25">
      <c r="A6" s="2" t="s">
        <v>107</v>
      </c>
      <c r="B6" s="7" t="s">
        <v>14</v>
      </c>
      <c r="C6" s="3">
        <v>500</v>
      </c>
      <c r="D6" s="4">
        <v>410</v>
      </c>
      <c r="E6" s="5">
        <v>38</v>
      </c>
      <c r="F6" s="5">
        <v>18</v>
      </c>
      <c r="G6" s="5">
        <v>22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3150</v>
      </c>
      <c r="D8" s="22">
        <f t="shared" si="0"/>
        <v>1460</v>
      </c>
      <c r="E8" s="23">
        <f t="shared" si="0"/>
        <v>98</v>
      </c>
      <c r="F8" s="23">
        <f t="shared" si="0"/>
        <v>90</v>
      </c>
      <c r="G8" s="23">
        <f t="shared" si="0"/>
        <v>57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1500</v>
      </c>
      <c r="D11" t="s">
        <v>113</v>
      </c>
      <c r="E11" s="17">
        <f>D8</f>
        <v>1460</v>
      </c>
    </row>
    <row r="12" spans="1:8" x14ac:dyDescent="0.25">
      <c r="B12" t="s">
        <v>99</v>
      </c>
      <c r="C12" s="18">
        <v>100</v>
      </c>
      <c r="D12" t="s">
        <v>113</v>
      </c>
      <c r="E12" s="18">
        <f>E8</f>
        <v>98</v>
      </c>
    </row>
    <row r="13" spans="1:8" x14ac:dyDescent="0.25">
      <c r="B13" t="s">
        <v>100</v>
      </c>
      <c r="C13" s="18">
        <v>200</v>
      </c>
      <c r="D13" t="s">
        <v>113</v>
      </c>
      <c r="E13" s="18">
        <f>F8</f>
        <v>90</v>
      </c>
    </row>
    <row r="14" spans="1:8" x14ac:dyDescent="0.25">
      <c r="B14" t="s">
        <v>101</v>
      </c>
      <c r="C14" s="18">
        <v>100</v>
      </c>
      <c r="D14" t="s">
        <v>113</v>
      </c>
      <c r="E14" s="18">
        <f>G8</f>
        <v>57</v>
      </c>
    </row>
    <row r="16" spans="1:8" x14ac:dyDescent="0.25">
      <c r="B16" t="s">
        <v>114</v>
      </c>
      <c r="C16" t="str">
        <f>IF(AND(E11&lt;=C11,E12&lt;=C12,E13&lt;=C13,E14&lt;=C14),"IGEN","NEM")</f>
        <v>IGEN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6"/>
  <sheetViews>
    <sheetView workbookViewId="0">
      <pane ySplit="3" topLeftCell="A4" activePane="bottomLeft" state="frozen"/>
      <selection pane="bottomLeft" sqref="A1:L24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40</v>
      </c>
      <c r="C2" s="3">
        <v>900</v>
      </c>
      <c r="D2" s="4">
        <v>280</v>
      </c>
      <c r="E2" s="5">
        <v>10</v>
      </c>
      <c r="F2" s="5">
        <v>22</v>
      </c>
      <c r="G2" s="5">
        <v>8</v>
      </c>
      <c r="H2" s="6">
        <v>4</v>
      </c>
    </row>
    <row r="3" spans="1:8" x14ac:dyDescent="0.25">
      <c r="A3" s="2" t="s">
        <v>104</v>
      </c>
      <c r="B3" s="7" t="s">
        <v>24</v>
      </c>
      <c r="C3" s="3">
        <v>450</v>
      </c>
      <c r="D3" s="4">
        <v>180</v>
      </c>
      <c r="E3" s="5">
        <v>25</v>
      </c>
      <c r="F3" s="5">
        <v>6</v>
      </c>
      <c r="G3" s="5">
        <v>5</v>
      </c>
      <c r="H3" s="6">
        <v>4</v>
      </c>
    </row>
    <row r="4" spans="1:8" x14ac:dyDescent="0.25">
      <c r="A4" s="2" t="s">
        <v>105</v>
      </c>
      <c r="B4" s="7" t="s">
        <v>60</v>
      </c>
      <c r="C4" s="3">
        <v>400</v>
      </c>
      <c r="D4" s="4">
        <v>310</v>
      </c>
      <c r="E4" s="5">
        <v>15</v>
      </c>
      <c r="F4" s="5">
        <v>22</v>
      </c>
      <c r="G4" s="5">
        <v>14</v>
      </c>
      <c r="H4" s="6">
        <v>4</v>
      </c>
    </row>
    <row r="5" spans="1:8" x14ac:dyDescent="0.25">
      <c r="A5" s="2" t="s">
        <v>106</v>
      </c>
      <c r="B5" s="7" t="s">
        <v>60</v>
      </c>
      <c r="C5" s="3">
        <v>400</v>
      </c>
      <c r="D5" s="4">
        <v>310</v>
      </c>
      <c r="E5" s="5">
        <v>15</v>
      </c>
      <c r="F5" s="5">
        <v>22</v>
      </c>
      <c r="G5" s="5">
        <v>14</v>
      </c>
      <c r="H5" s="6">
        <v>4</v>
      </c>
    </row>
    <row r="6" spans="1:8" x14ac:dyDescent="0.25">
      <c r="A6" s="2" t="s">
        <v>107</v>
      </c>
      <c r="B6" s="7" t="s">
        <v>42</v>
      </c>
      <c r="C6" s="3">
        <v>1050</v>
      </c>
      <c r="D6" s="4">
        <v>420</v>
      </c>
      <c r="E6" s="5">
        <v>15</v>
      </c>
      <c r="F6" s="5">
        <v>25</v>
      </c>
      <c r="G6" s="5">
        <v>34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3200</v>
      </c>
      <c r="D8" s="22">
        <f t="shared" si="0"/>
        <v>1500</v>
      </c>
      <c r="E8" s="23">
        <f t="shared" si="0"/>
        <v>80</v>
      </c>
      <c r="F8" s="23">
        <f t="shared" si="0"/>
        <v>97</v>
      </c>
      <c r="G8" s="23">
        <f t="shared" si="0"/>
        <v>75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1500</v>
      </c>
      <c r="D11" t="s">
        <v>113</v>
      </c>
      <c r="E11" s="17">
        <f>D8</f>
        <v>1500</v>
      </c>
    </row>
    <row r="12" spans="1:8" x14ac:dyDescent="0.25">
      <c r="B12" t="s">
        <v>99</v>
      </c>
      <c r="C12" s="18">
        <v>100</v>
      </c>
      <c r="D12" t="s">
        <v>113</v>
      </c>
      <c r="E12" s="18">
        <f>E8</f>
        <v>80</v>
      </c>
    </row>
    <row r="13" spans="1:8" x14ac:dyDescent="0.25">
      <c r="B13" t="s">
        <v>100</v>
      </c>
      <c r="C13" s="18">
        <v>200</v>
      </c>
      <c r="D13" t="s">
        <v>113</v>
      </c>
      <c r="E13" s="18">
        <f>F8</f>
        <v>97</v>
      </c>
    </row>
    <row r="14" spans="1:8" x14ac:dyDescent="0.25">
      <c r="B14" t="s">
        <v>101</v>
      </c>
      <c r="C14" s="18">
        <v>100</v>
      </c>
      <c r="D14" t="s">
        <v>113</v>
      </c>
      <c r="E14" s="18">
        <f>G8</f>
        <v>75</v>
      </c>
    </row>
    <row r="16" spans="1:8" x14ac:dyDescent="0.25">
      <c r="B16" t="s">
        <v>114</v>
      </c>
      <c r="C16" t="str">
        <f>IF(AND(E11&lt;=C11,E12&lt;=C12,E13&lt;=C13,E14&lt;=C14),"IGEN","NEM")</f>
        <v>IGEN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6"/>
  <sheetViews>
    <sheetView workbookViewId="0">
      <pane ySplit="3" topLeftCell="A4" activePane="bottomLeft" state="frozen"/>
      <selection pane="bottomLeft" sqref="A1:N29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24</v>
      </c>
      <c r="C2" s="3">
        <v>450</v>
      </c>
      <c r="D2" s="4">
        <v>180</v>
      </c>
      <c r="E2" s="5">
        <v>25</v>
      </c>
      <c r="F2" s="5">
        <v>6</v>
      </c>
      <c r="G2" s="5">
        <v>5</v>
      </c>
      <c r="H2" s="6">
        <v>4</v>
      </c>
    </row>
    <row r="3" spans="1:8" x14ac:dyDescent="0.25">
      <c r="A3" s="2" t="s">
        <v>104</v>
      </c>
      <c r="B3" s="7" t="s">
        <v>20</v>
      </c>
      <c r="C3" s="3">
        <v>400</v>
      </c>
      <c r="D3" s="4">
        <v>550</v>
      </c>
      <c r="E3" s="5">
        <v>72</v>
      </c>
      <c r="F3" s="5">
        <v>18</v>
      </c>
      <c r="G3" s="5">
        <v>20</v>
      </c>
      <c r="H3" s="6">
        <v>4</v>
      </c>
    </row>
    <row r="4" spans="1:8" x14ac:dyDescent="0.25">
      <c r="A4" s="2" t="s">
        <v>105</v>
      </c>
      <c r="B4" s="7" t="s">
        <v>46</v>
      </c>
      <c r="C4" s="3">
        <v>350</v>
      </c>
      <c r="D4" s="4">
        <v>320</v>
      </c>
      <c r="E4" s="5">
        <v>42</v>
      </c>
      <c r="F4" s="5">
        <v>10</v>
      </c>
      <c r="G4" s="5">
        <v>14</v>
      </c>
      <c r="H4" s="6">
        <v>4</v>
      </c>
    </row>
    <row r="5" spans="1:8" x14ac:dyDescent="0.25">
      <c r="A5" s="2" t="s">
        <v>106</v>
      </c>
      <c r="B5" s="7" t="s">
        <v>46</v>
      </c>
      <c r="C5" s="3">
        <v>350</v>
      </c>
      <c r="D5" s="4">
        <v>320</v>
      </c>
      <c r="E5" s="5">
        <v>42</v>
      </c>
      <c r="F5" s="5">
        <v>10</v>
      </c>
      <c r="G5" s="5">
        <v>14</v>
      </c>
      <c r="H5" s="6">
        <v>4</v>
      </c>
    </row>
    <row r="6" spans="1:8" x14ac:dyDescent="0.25">
      <c r="A6" s="2" t="s">
        <v>107</v>
      </c>
      <c r="B6" s="7" t="s">
        <v>20</v>
      </c>
      <c r="C6" s="3">
        <v>400</v>
      </c>
      <c r="D6" s="4">
        <v>550</v>
      </c>
      <c r="E6" s="5">
        <v>72</v>
      </c>
      <c r="F6" s="5">
        <v>18</v>
      </c>
      <c r="G6" s="5">
        <v>20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1950</v>
      </c>
      <c r="D8" s="22">
        <f t="shared" si="0"/>
        <v>1920</v>
      </c>
      <c r="E8" s="23">
        <f t="shared" si="0"/>
        <v>253</v>
      </c>
      <c r="F8" s="23">
        <f t="shared" si="0"/>
        <v>62</v>
      </c>
      <c r="G8" s="23">
        <f t="shared" si="0"/>
        <v>73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3500</v>
      </c>
      <c r="D11" t="s">
        <v>113</v>
      </c>
      <c r="E11" s="17">
        <f>D8</f>
        <v>1920</v>
      </c>
    </row>
    <row r="12" spans="1:8" x14ac:dyDescent="0.25">
      <c r="B12" t="s">
        <v>99</v>
      </c>
      <c r="C12" s="18">
        <v>300</v>
      </c>
      <c r="D12" t="s">
        <v>113</v>
      </c>
      <c r="E12" s="18">
        <f>E8</f>
        <v>253</v>
      </c>
    </row>
    <row r="13" spans="1:8" x14ac:dyDescent="0.25">
      <c r="B13" t="s">
        <v>100</v>
      </c>
      <c r="C13" s="18">
        <v>230</v>
      </c>
      <c r="D13" t="s">
        <v>113</v>
      </c>
      <c r="E13" s="18">
        <f>F8</f>
        <v>62</v>
      </c>
    </row>
    <row r="14" spans="1:8" x14ac:dyDescent="0.25">
      <c r="B14" t="s">
        <v>101</v>
      </c>
      <c r="C14" s="18">
        <v>200</v>
      </c>
      <c r="D14" t="s">
        <v>113</v>
      </c>
      <c r="E14" s="18">
        <f>G8</f>
        <v>73</v>
      </c>
    </row>
    <row r="16" spans="1:8" x14ac:dyDescent="0.25">
      <c r="B16" t="s">
        <v>114</v>
      </c>
      <c r="C16" t="str">
        <f>IF(AND(E11&lt;=C11,E12&lt;=C12,E13&lt;=C13,E14&lt;=C14),"IGEN","NEM")</f>
        <v>IGEN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6"/>
  <sheetViews>
    <sheetView workbookViewId="0">
      <pane ySplit="3" topLeftCell="A4" activePane="bottomLeft" state="frozen"/>
      <selection pane="bottomLeft" sqref="A1:M29"/>
    </sheetView>
  </sheetViews>
  <sheetFormatPr defaultRowHeight="15" x14ac:dyDescent="0.25"/>
  <cols>
    <col min="1" max="1" width="12" customWidth="1"/>
    <col min="2" max="2" width="34" customWidth="1"/>
    <col min="3" max="8" width="16" customWidth="1"/>
  </cols>
  <sheetData>
    <row r="1" spans="1:8" x14ac:dyDescent="0.25">
      <c r="A1" s="1" t="s">
        <v>97</v>
      </c>
      <c r="B1" s="1" t="s">
        <v>96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111</v>
      </c>
    </row>
    <row r="2" spans="1:8" x14ac:dyDescent="0.25">
      <c r="A2" s="2" t="s">
        <v>103</v>
      </c>
      <c r="B2" s="7" t="s">
        <v>20</v>
      </c>
      <c r="C2" s="3">
        <v>400</v>
      </c>
      <c r="D2" s="4">
        <v>550</v>
      </c>
      <c r="E2" s="5">
        <v>72</v>
      </c>
      <c r="F2" s="5">
        <v>18</v>
      </c>
      <c r="G2" s="5">
        <v>20</v>
      </c>
      <c r="H2" s="6">
        <v>4</v>
      </c>
    </row>
    <row r="3" spans="1:8" x14ac:dyDescent="0.25">
      <c r="A3" s="2" t="s">
        <v>104</v>
      </c>
      <c r="B3" s="7" t="s">
        <v>24</v>
      </c>
      <c r="C3" s="3">
        <v>450</v>
      </c>
      <c r="D3" s="4">
        <v>180</v>
      </c>
      <c r="E3" s="5">
        <v>25</v>
      </c>
      <c r="F3" s="5">
        <v>6</v>
      </c>
      <c r="G3" s="5">
        <v>5</v>
      </c>
      <c r="H3" s="6">
        <v>4</v>
      </c>
    </row>
    <row r="4" spans="1:8" x14ac:dyDescent="0.25">
      <c r="A4" s="2" t="s">
        <v>105</v>
      </c>
      <c r="B4" s="7" t="s">
        <v>64</v>
      </c>
      <c r="C4" s="3">
        <v>650</v>
      </c>
      <c r="D4" s="4">
        <v>590</v>
      </c>
      <c r="E4" s="5">
        <v>85</v>
      </c>
      <c r="F4" s="5">
        <v>18</v>
      </c>
      <c r="G4" s="5">
        <v>16</v>
      </c>
      <c r="H4" s="6">
        <v>4</v>
      </c>
    </row>
    <row r="5" spans="1:8" x14ac:dyDescent="0.25">
      <c r="A5" s="2" t="s">
        <v>106</v>
      </c>
      <c r="B5" s="7" t="s">
        <v>56</v>
      </c>
      <c r="C5" s="3">
        <v>800</v>
      </c>
      <c r="D5" s="4">
        <v>460</v>
      </c>
      <c r="E5" s="5">
        <v>42</v>
      </c>
      <c r="F5" s="5">
        <v>20</v>
      </c>
      <c r="G5" s="5">
        <v>24</v>
      </c>
      <c r="H5" s="6">
        <v>4</v>
      </c>
    </row>
    <row r="6" spans="1:8" x14ac:dyDescent="0.25">
      <c r="A6" s="2" t="s">
        <v>107</v>
      </c>
      <c r="B6" s="7" t="s">
        <v>46</v>
      </c>
      <c r="C6" s="3">
        <v>350</v>
      </c>
      <c r="D6" s="4">
        <v>320</v>
      </c>
      <c r="E6" s="5">
        <v>42</v>
      </c>
      <c r="F6" s="5">
        <v>10</v>
      </c>
      <c r="G6" s="5">
        <v>14</v>
      </c>
      <c r="H6" s="6">
        <v>4</v>
      </c>
    </row>
    <row r="7" spans="1:8" x14ac:dyDescent="0.25">
      <c r="C7" s="16"/>
      <c r="D7" s="17"/>
      <c r="E7" s="18"/>
      <c r="F7" s="18"/>
      <c r="G7" s="18"/>
      <c r="H7" s="19"/>
    </row>
    <row r="8" spans="1:8" x14ac:dyDescent="0.25">
      <c r="A8" s="20" t="s">
        <v>108</v>
      </c>
      <c r="B8" s="10"/>
      <c r="C8" s="21">
        <f t="shared" ref="C8:H8" si="0">SUM(C2:C6)</f>
        <v>2650</v>
      </c>
      <c r="D8" s="22">
        <f t="shared" si="0"/>
        <v>2100</v>
      </c>
      <c r="E8" s="23">
        <f t="shared" si="0"/>
        <v>266</v>
      </c>
      <c r="F8" s="23">
        <f t="shared" si="0"/>
        <v>72</v>
      </c>
      <c r="G8" s="23">
        <f t="shared" si="0"/>
        <v>79</v>
      </c>
      <c r="H8" s="24">
        <f t="shared" si="0"/>
        <v>20</v>
      </c>
    </row>
    <row r="10" spans="1:8" x14ac:dyDescent="0.25">
      <c r="A10" s="9" t="s">
        <v>112</v>
      </c>
    </row>
    <row r="11" spans="1:8" x14ac:dyDescent="0.25">
      <c r="B11" t="s">
        <v>98</v>
      </c>
      <c r="C11" s="17">
        <v>3500</v>
      </c>
      <c r="D11" t="s">
        <v>113</v>
      </c>
      <c r="E11" s="17">
        <f>D8</f>
        <v>2100</v>
      </c>
    </row>
    <row r="12" spans="1:8" x14ac:dyDescent="0.25">
      <c r="B12" t="s">
        <v>99</v>
      </c>
      <c r="C12" s="18">
        <v>300</v>
      </c>
      <c r="D12" t="s">
        <v>113</v>
      </c>
      <c r="E12" s="18">
        <f>E8</f>
        <v>266</v>
      </c>
    </row>
    <row r="13" spans="1:8" x14ac:dyDescent="0.25">
      <c r="B13" t="s">
        <v>100</v>
      </c>
      <c r="C13" s="18">
        <v>230</v>
      </c>
      <c r="D13" t="s">
        <v>113</v>
      </c>
      <c r="E13" s="18">
        <f>F8</f>
        <v>72</v>
      </c>
    </row>
    <row r="14" spans="1:8" x14ac:dyDescent="0.25">
      <c r="B14" t="s">
        <v>101</v>
      </c>
      <c r="C14" s="18">
        <v>200</v>
      </c>
      <c r="D14" t="s">
        <v>113</v>
      </c>
      <c r="E14" s="18">
        <f>G8</f>
        <v>79</v>
      </c>
    </row>
    <row r="16" spans="1:8" x14ac:dyDescent="0.25">
      <c r="B16" t="s">
        <v>114</v>
      </c>
      <c r="C16" t="str">
        <f>IF(AND(E11&lt;=C11,E12&lt;=C12,E13&lt;=C13,E14&lt;=C14),"IGEN","NEM")</f>
        <v>IGEN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681475-2648-4428-834A-E421F068AE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27</vt:i4>
      </vt:variant>
    </vt:vector>
  </HeadingPairs>
  <TitlesOfParts>
    <vt:vector size="27" baseType="lpstr">
      <vt:lpstr>Etelek</vt:lpstr>
      <vt:lpstr>Kategoriak</vt:lpstr>
      <vt:lpstr>Statisztika</vt:lpstr>
      <vt:lpstr>Alapanyagok</vt:lpstr>
      <vt:lpstr>Diétakategória</vt:lpstr>
      <vt:lpstr>Ételek</vt:lpstr>
      <vt:lpstr>Hetimenűk</vt:lpstr>
      <vt:lpstr>Hozzávalók</vt:lpstr>
      <vt:lpstr>Kategóriák</vt:lpstr>
      <vt:lpstr>Menu</vt:lpstr>
      <vt:lpstr>Menu_Eredmeny</vt:lpstr>
      <vt:lpstr>Menu_Szálkásító Pro</vt:lpstr>
      <vt:lpstr>Menu_olcso_Szálkásító Pro</vt:lpstr>
      <vt:lpstr>Menu_Tömegnövelő Hardgainers</vt:lpstr>
      <vt:lpstr>Menu_olcso_Tömegnövelő Hardgain</vt:lpstr>
      <vt:lpstr>Menu_Ketogén Alap</vt:lpstr>
      <vt:lpstr>Menu_olcso_Ketogén Alap</vt:lpstr>
      <vt:lpstr>Menu_Irodai Wellness</vt:lpstr>
      <vt:lpstr>Menu_olcso_Irodai Wellness</vt:lpstr>
      <vt:lpstr>Menu_Low-Carb (Szénhidrátszegén</vt:lpstr>
      <vt:lpstr>Menu_olcso_Low-Carb (Szénhidrát</vt:lpstr>
      <vt:lpstr>Menu_Szívbarát (Low-Fat)</vt:lpstr>
      <vt:lpstr>Menu_olcso_Szívbarát (Low-Fat)</vt:lpstr>
      <vt:lpstr>Menu_Hosszú élet (Longevity)</vt:lpstr>
      <vt:lpstr>Menu_olcso_Hosszú élet (Longevi</vt:lpstr>
      <vt:lpstr>Menu_Hobbi Sportoló</vt:lpstr>
      <vt:lpstr>Menu_olcso_Hobbi Sportoló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D242TAN-18</cp:lastModifiedBy>
  <cp:revision/>
  <dcterms:created xsi:type="dcterms:W3CDTF">2026-02-24T19:57:40Z</dcterms:created>
  <dcterms:modified xsi:type="dcterms:W3CDTF">2026-03-16T12:59:20Z</dcterms:modified>
  <cp:category/>
  <cp:contentStatus/>
</cp:coreProperties>
</file>