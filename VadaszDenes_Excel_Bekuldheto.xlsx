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D242TAN-18.SZERUSKERT\Downloads\"/>
    </mc:Choice>
  </mc:AlternateContent>
  <xr:revisionPtr revIDLastSave="0" documentId="13_ncr:1_{9D5DEBC1-C4F2-4406-9FC3-F475EC8599C5}" xr6:coauthVersionLast="36" xr6:coauthVersionMax="47" xr10:uidLastSave="{00000000-0000-0000-0000-000000000000}"/>
  <bookViews>
    <workbookView xWindow="0" yWindow="0" windowWidth="28800" windowHeight="12225" activeTab="20" xr2:uid="{00000000-000D-0000-FFFF-FFFF00000000}"/>
  </bookViews>
  <sheets>
    <sheet name="Etelek" sheetId="2" r:id="rId1"/>
    <sheet name="Kategoriak" sheetId="3" r:id="rId2"/>
    <sheet name="Statisztika" sheetId="4" r:id="rId3"/>
    <sheet name="Menu" sheetId="5" r:id="rId4"/>
    <sheet name="Menu_Eredmeny" sheetId="6" r:id="rId5"/>
    <sheet name="Menu_Szálkásító Pro" sheetId="7" r:id="rId6"/>
    <sheet name="Menu_olcso_Szálkásító Pro" sheetId="8" r:id="rId7"/>
    <sheet name="Menu_Tömegnövelő Hardgainers" sheetId="9" r:id="rId8"/>
    <sheet name="Menu_olcso_Tömegnövelő Hardgain" sheetId="10" r:id="rId9"/>
    <sheet name="Menu_Ketogén Alap" sheetId="11" r:id="rId10"/>
    <sheet name="Menu_olcso_Ketogén Alap" sheetId="12" r:id="rId11"/>
    <sheet name="Menu_Irodai Wellness" sheetId="13" r:id="rId12"/>
    <sheet name="Menu_olcso_Irodai Wellness" sheetId="14" r:id="rId13"/>
    <sheet name="Menu_Low-Carb (Szénhidrátszegén" sheetId="15" r:id="rId14"/>
    <sheet name="Menu_olcso_Low-Carb (Szénhidrát" sheetId="16" r:id="rId15"/>
    <sheet name="Menu_Szívbarát (Low-Fat)" sheetId="17" r:id="rId16"/>
    <sheet name="Menu_olcso_Szívbarát (Low-Fat)" sheetId="18" r:id="rId17"/>
    <sheet name="Menu_Hosszú élet (Longevity)" sheetId="19" r:id="rId18"/>
    <sheet name="Menu_olcso_Hosszú élet (Longevi" sheetId="20" r:id="rId19"/>
    <sheet name="Menu_Hobbi Sportoló" sheetId="21" r:id="rId20"/>
    <sheet name="Menu_olcso_Hobbi Sportoló" sheetId="22" r:id="rId2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5" l="1"/>
  <c r="H4" i="5"/>
  <c r="H5" i="5"/>
  <c r="H6" i="5"/>
  <c r="H2" i="5"/>
  <c r="G3" i="5"/>
  <c r="G4" i="5"/>
  <c r="G5" i="5"/>
  <c r="G6" i="5"/>
  <c r="G2" i="5"/>
  <c r="F3" i="5"/>
  <c r="F4" i="5"/>
  <c r="F5" i="5"/>
  <c r="F6" i="5"/>
  <c r="F2" i="5"/>
  <c r="E3" i="5"/>
  <c r="E4" i="5"/>
  <c r="E5" i="5"/>
  <c r="E6" i="5"/>
  <c r="E2" i="5"/>
  <c r="D3" i="5"/>
  <c r="D4" i="5"/>
  <c r="D5" i="5"/>
  <c r="D6" i="5"/>
  <c r="D2" i="5"/>
  <c r="C3" i="5"/>
  <c r="C4" i="5"/>
  <c r="C5" i="5"/>
  <c r="C6" i="5"/>
  <c r="C2" i="5"/>
  <c r="H8" i="22" l="1"/>
  <c r="G8" i="22"/>
  <c r="E14" i="22" s="1"/>
  <c r="F8" i="22"/>
  <c r="E13" i="22" s="1"/>
  <c r="E8" i="22"/>
  <c r="E12" i="22" s="1"/>
  <c r="D8" i="22"/>
  <c r="E11" i="22" s="1"/>
  <c r="C8" i="22"/>
  <c r="H8" i="21"/>
  <c r="G8" i="21"/>
  <c r="E14" i="21" s="1"/>
  <c r="F8" i="21"/>
  <c r="E13" i="21" s="1"/>
  <c r="E8" i="21"/>
  <c r="E12" i="21" s="1"/>
  <c r="D8" i="21"/>
  <c r="E11" i="21" s="1"/>
  <c r="C8" i="21"/>
  <c r="H8" i="20"/>
  <c r="G8" i="20"/>
  <c r="E14" i="20" s="1"/>
  <c r="F8" i="20"/>
  <c r="E13" i="20" s="1"/>
  <c r="E8" i="20"/>
  <c r="E12" i="20" s="1"/>
  <c r="D8" i="20"/>
  <c r="E11" i="20" s="1"/>
  <c r="C8" i="20"/>
  <c r="H8" i="19"/>
  <c r="G8" i="19"/>
  <c r="E14" i="19" s="1"/>
  <c r="F8" i="19"/>
  <c r="E13" i="19" s="1"/>
  <c r="E8" i="19"/>
  <c r="E12" i="19" s="1"/>
  <c r="D8" i="19"/>
  <c r="E11" i="19" s="1"/>
  <c r="C16" i="19" s="1"/>
  <c r="C8" i="19"/>
  <c r="H8" i="18"/>
  <c r="G8" i="18"/>
  <c r="E14" i="18" s="1"/>
  <c r="F8" i="18"/>
  <c r="E13" i="18" s="1"/>
  <c r="E8" i="18"/>
  <c r="E12" i="18" s="1"/>
  <c r="D8" i="18"/>
  <c r="E11" i="18" s="1"/>
  <c r="C8" i="18"/>
  <c r="H8" i="17"/>
  <c r="G8" i="17"/>
  <c r="E14" i="17" s="1"/>
  <c r="F8" i="17"/>
  <c r="E13" i="17" s="1"/>
  <c r="E8" i="17"/>
  <c r="E12" i="17" s="1"/>
  <c r="D8" i="17"/>
  <c r="E11" i="17" s="1"/>
  <c r="C8" i="17"/>
  <c r="H8" i="16"/>
  <c r="G8" i="16"/>
  <c r="E14" i="16" s="1"/>
  <c r="F8" i="16"/>
  <c r="E13" i="16" s="1"/>
  <c r="E8" i="16"/>
  <c r="E12" i="16" s="1"/>
  <c r="D8" i="16"/>
  <c r="E11" i="16" s="1"/>
  <c r="C8" i="16"/>
  <c r="H8" i="15"/>
  <c r="G8" i="15"/>
  <c r="E14" i="15" s="1"/>
  <c r="F8" i="15"/>
  <c r="E13" i="15" s="1"/>
  <c r="E8" i="15"/>
  <c r="E12" i="15" s="1"/>
  <c r="D8" i="15"/>
  <c r="E11" i="15" s="1"/>
  <c r="C8" i="15"/>
  <c r="H8" i="14"/>
  <c r="G8" i="14"/>
  <c r="E14" i="14" s="1"/>
  <c r="F8" i="14"/>
  <c r="E13" i="14" s="1"/>
  <c r="E8" i="14"/>
  <c r="E12" i="14" s="1"/>
  <c r="D8" i="14"/>
  <c r="E11" i="14" s="1"/>
  <c r="C8" i="14"/>
  <c r="H8" i="13"/>
  <c r="G8" i="13"/>
  <c r="E14" i="13" s="1"/>
  <c r="F8" i="13"/>
  <c r="E13" i="13" s="1"/>
  <c r="E8" i="13"/>
  <c r="E12" i="13" s="1"/>
  <c r="D8" i="13"/>
  <c r="E11" i="13" s="1"/>
  <c r="C8" i="13"/>
  <c r="H8" i="12"/>
  <c r="G8" i="12"/>
  <c r="E14" i="12" s="1"/>
  <c r="F8" i="12"/>
  <c r="E13" i="12" s="1"/>
  <c r="E8" i="12"/>
  <c r="E12" i="12" s="1"/>
  <c r="D8" i="12"/>
  <c r="E11" i="12" s="1"/>
  <c r="C8" i="12"/>
  <c r="H8" i="11"/>
  <c r="G8" i="11"/>
  <c r="E14" i="11" s="1"/>
  <c r="F8" i="11"/>
  <c r="E13" i="11" s="1"/>
  <c r="E8" i="11"/>
  <c r="E12" i="11" s="1"/>
  <c r="D8" i="11"/>
  <c r="E11" i="11" s="1"/>
  <c r="C8" i="11"/>
  <c r="H8" i="10"/>
  <c r="G8" i="10"/>
  <c r="E14" i="10" s="1"/>
  <c r="F8" i="10"/>
  <c r="E13" i="10" s="1"/>
  <c r="E8" i="10"/>
  <c r="E12" i="10" s="1"/>
  <c r="D8" i="10"/>
  <c r="E11" i="10" s="1"/>
  <c r="C8" i="10"/>
  <c r="H8" i="9"/>
  <c r="G8" i="9"/>
  <c r="E14" i="9" s="1"/>
  <c r="F8" i="9"/>
  <c r="E13" i="9" s="1"/>
  <c r="E8" i="9"/>
  <c r="E12" i="9" s="1"/>
  <c r="D8" i="9"/>
  <c r="E11" i="9" s="1"/>
  <c r="C8" i="9"/>
  <c r="H8" i="8"/>
  <c r="G8" i="8"/>
  <c r="E14" i="8" s="1"/>
  <c r="F8" i="8"/>
  <c r="E13" i="8" s="1"/>
  <c r="E8" i="8"/>
  <c r="E12" i="8" s="1"/>
  <c r="D8" i="8"/>
  <c r="E11" i="8" s="1"/>
  <c r="C8" i="8"/>
  <c r="H8" i="7"/>
  <c r="G8" i="7"/>
  <c r="E14" i="7" s="1"/>
  <c r="F8" i="7"/>
  <c r="E13" i="7" s="1"/>
  <c r="E8" i="7"/>
  <c r="E12" i="7" s="1"/>
  <c r="D8" i="7"/>
  <c r="E11" i="7" s="1"/>
  <c r="C8" i="7"/>
  <c r="H8" i="5"/>
  <c r="G8" i="5"/>
  <c r="D8" i="5"/>
  <c r="F8" i="5"/>
  <c r="E8" i="5"/>
  <c r="C8" i="5"/>
  <c r="C16" i="22" l="1"/>
  <c r="C16" i="21"/>
  <c r="C16" i="20"/>
  <c r="C16" i="18"/>
  <c r="C16" i="17"/>
  <c r="C16" i="16"/>
  <c r="C16" i="15"/>
  <c r="C16" i="14"/>
  <c r="C16" i="13"/>
  <c r="C16" i="12"/>
  <c r="C16" i="11"/>
  <c r="C16" i="10"/>
  <c r="C16" i="9"/>
  <c r="C16" i="8"/>
  <c r="C16" i="7"/>
  <c r="G9" i="6"/>
  <c r="G8" i="6"/>
  <c r="G7" i="6"/>
  <c r="G6" i="6"/>
  <c r="G5" i="6"/>
  <c r="G4" i="6"/>
  <c r="G3" i="6"/>
  <c r="G2" i="6"/>
  <c r="H9" i="6"/>
  <c r="H8" i="6"/>
  <c r="H7" i="6"/>
  <c r="H6" i="6"/>
  <c r="H5" i="6"/>
  <c r="H4" i="6"/>
  <c r="H3" i="6"/>
  <c r="H2" i="6"/>
  <c r="I9" i="6"/>
  <c r="I8" i="6"/>
  <c r="I7" i="6"/>
  <c r="I6" i="6"/>
  <c r="I5" i="6"/>
  <c r="I4" i="6"/>
  <c r="I3" i="6"/>
  <c r="I2" i="6"/>
  <c r="J9" i="6"/>
  <c r="J8" i="6"/>
  <c r="J7" i="6"/>
  <c r="J6" i="6"/>
  <c r="J5" i="6"/>
  <c r="J4" i="6"/>
  <c r="J3" i="6"/>
  <c r="J2" i="6"/>
  <c r="L2" i="6" l="1"/>
  <c r="K2" i="6"/>
  <c r="L3" i="6"/>
  <c r="K3" i="6"/>
  <c r="L4" i="6"/>
  <c r="K4" i="6"/>
  <c r="L5" i="6"/>
  <c r="K5" i="6"/>
  <c r="L6" i="6"/>
  <c r="K6" i="6"/>
  <c r="L7" i="6"/>
  <c r="K7" i="6"/>
  <c r="L8" i="6"/>
  <c r="K8" i="6"/>
  <c r="L9" i="6"/>
  <c r="K9" i="6"/>
</calcChain>
</file>

<file path=xl/sharedStrings.xml><?xml version="1.0" encoding="utf-8"?>
<sst xmlns="http://schemas.openxmlformats.org/spreadsheetml/2006/main" count="705" uniqueCount="118">
  <si>
    <t>Név</t>
  </si>
  <si>
    <t>Költség</t>
  </si>
  <si>
    <t>Energia (kcal)</t>
  </si>
  <si>
    <t>Szénhidrát (g)</t>
  </si>
  <si>
    <t>Zsír (g)</t>
  </si>
  <si>
    <t>Fehérje (g)</t>
  </si>
  <si>
    <t>Hozzávalók_db</t>
  </si>
  <si>
    <t>Hozzávalók_nevek</t>
  </si>
  <si>
    <t>Bolognai spagetti</t>
  </si>
  <si>
    <t>Darált marhahús, Spagetti tészta, Paradicsomszósz, Vöröshagyma</t>
  </si>
  <si>
    <t>Grillezett csirkemell rizzsel</t>
  </si>
  <si>
    <t>Csirkemell, Jázmin rizs, Olívaolaj, Brokkoli</t>
  </si>
  <si>
    <t>Paradicsomos húsgombóc</t>
  </si>
  <si>
    <t>Darált sertéshús, Főtt burgonya, Paradicsomlé, Tojás</t>
  </si>
  <si>
    <t>Lencsefőzelék virslivel</t>
  </si>
  <si>
    <t>Lencse, Bécsi virsli, Tejföl, Babérlevél</t>
  </si>
  <si>
    <t>Marhapörkölt galuskával</t>
  </si>
  <si>
    <t>Marhalábszár, Finomliszt, Tojás, Pirospaprika</t>
  </si>
  <si>
    <t>Cézár saláta csirkével</t>
  </si>
  <si>
    <t>Római saláta, Csirkemell, Parmezán, Kruton</t>
  </si>
  <si>
    <t>Tojásos nokedli</t>
  </si>
  <si>
    <t>Finomliszt, Tojás, Étollaj, Fejes saláta</t>
  </si>
  <si>
    <t>Rakott krumpli</t>
  </si>
  <si>
    <t>Burgonya, Tojás, Kolbász, Tejföl</t>
  </si>
  <si>
    <t>Zöldségleves galuskával</t>
  </si>
  <si>
    <t>Sárgarépa, Fehérrépa, Zeller, Búzadara</t>
  </si>
  <si>
    <t>Gulyásleves</t>
  </si>
  <si>
    <t>Marhahús, Burgonya, Vöröshagyma, Csipetke</t>
  </si>
  <si>
    <t>Túrós csusza tepertővel</t>
  </si>
  <si>
    <t>Csusza tészta, Túró, Tejföl, Szalonna</t>
  </si>
  <si>
    <t>Rántott sajt sült krumplival</t>
  </si>
  <si>
    <t>Trappista sajt, Burgonya, Zsemlemorzsa, Tartármártás</t>
  </si>
  <si>
    <t>Paprikás krumpli</t>
  </si>
  <si>
    <t>Burgonya, Lecsókolbász, Vöröshagyma, Fűszerpaprika</t>
  </si>
  <si>
    <t>Carbonara tészta</t>
  </si>
  <si>
    <t>Spagetti, Pancetta/Szalonna, Tojássárgája, Pecorino sajt</t>
  </si>
  <si>
    <t>Chili con Carne</t>
  </si>
  <si>
    <t>Darált marhahús, Vörösbab, Kukorica, Chili paprika</t>
  </si>
  <si>
    <t>Brassói aprópecsenye</t>
  </si>
  <si>
    <t>Sertésszűz, Burgonya, Fokhagyma, Csemegeuborka</t>
  </si>
  <si>
    <t>Görög saláta</t>
  </si>
  <si>
    <t>Paradicsom, Kígyóuborka, Feta sajt, Olívabogyó</t>
  </si>
  <si>
    <t>Sült hekk kovászos uborkával</t>
  </si>
  <si>
    <t>Hekkfilé, Finomliszt, Kovászos uborka, Napraforgóolaj</t>
  </si>
  <si>
    <t>Rakott karfiol</t>
  </si>
  <si>
    <t>Karfiol, Darált sertéshús, Rizs, Tejföl</t>
  </si>
  <si>
    <t>Zöldborsófőzelék</t>
  </si>
  <si>
    <t>Zöldborsó, Tej, Liszt, Cukor</t>
  </si>
  <si>
    <t>Tonhalas tészta</t>
  </si>
  <si>
    <t>Penne tészta, Tonhal konzerv, Olívabogyó, Kapribogyó</t>
  </si>
  <si>
    <t>Húsleves cérnametélttel</t>
  </si>
  <si>
    <t>Tyúkhús, Sárgarépa, Cérnametélt, Karalábé</t>
  </si>
  <si>
    <t>Székelykáposzta</t>
  </si>
  <si>
    <t>Savanyú káposzta, Sertéscomb, Tejföl, Szalonna</t>
  </si>
  <si>
    <t>Milánói sertésborda</t>
  </si>
  <si>
    <t>Sertéskaraj, Spagetti, Gomba, Paradicsomszósz</t>
  </si>
  <si>
    <t>Töltött paprika</t>
  </si>
  <si>
    <t>TV paprika, Darált hús, Rizs, Paradicsomlé</t>
  </si>
  <si>
    <t>Grillezett lazac spárgával</t>
  </si>
  <si>
    <t>Lazacfilé, Spárga, Vaj, Citrom</t>
  </si>
  <si>
    <t>Lecsó tojással</t>
  </si>
  <si>
    <t>TV paprika, Paradicsom, Tojás, Vöröshagyma</t>
  </si>
  <si>
    <t>Rizses hús (Bácskai)</t>
  </si>
  <si>
    <t>Sertéslapocka, Rizs, Paprika, Paradicsom</t>
  </si>
  <si>
    <t>Máglyarakás</t>
  </si>
  <si>
    <t>Kifli, Alma, Tojásfehérje, Baracklekvár</t>
  </si>
  <si>
    <t>Gombapörkölt galuskával</t>
  </si>
  <si>
    <t>Csiperkegomba, Vöröshagyma, Liszt, Tejföl</t>
  </si>
  <si>
    <t>Kategória név</t>
  </si>
  <si>
    <t>Leírás / Célkitűzés</t>
  </si>
  <si>
    <t>Heti max. Energia (kcal)</t>
  </si>
  <si>
    <t>Heti max. Szénhidrát (g)</t>
  </si>
  <si>
    <t>Heti max. Zsír (g)</t>
  </si>
  <si>
    <t>Heti max. Fehérje (g)</t>
  </si>
  <si>
    <t>"Szálkásító" Pro</t>
  </si>
  <si>
    <t>Szigorú diéta versenyzőknek vagy intenzív fogyáshoz.</t>
  </si>
  <si>
    <t>Tömegnövelő "Hardgainers"</t>
  </si>
  <si>
    <t>Gyors anyagcseréjűeknek, izomépítéshez magas kerettel.</t>
  </si>
  <si>
    <t>Ketogén Alap</t>
  </si>
  <si>
    <t>Minimális szénhidrát és cukor, magas zsírplafon mellett.</t>
  </si>
  <si>
    <t>Irodai Wellness</t>
  </si>
  <si>
    <t>Ülőmunkát végzőknek, mérsékelt kalóriaigénnyel.</t>
  </si>
  <si>
    <t>Low-Carb (Szénhidrátszegény)</t>
  </si>
  <si>
    <t>Cukorkorlátozás az inzulinrezisztencia megelőzésére.</t>
  </si>
  <si>
    <t>Szívbarát (Low-Fat)</t>
  </si>
  <si>
    <t>Zsírszegény étrend a koleszterinszint kordában tartására.</t>
  </si>
  <si>
    <t>Hosszú élet (Longevity)</t>
  </si>
  <si>
    <t>Mérsékelt fehérje- és kalóriabevitel (autofágia támogatása).</t>
  </si>
  <si>
    <t>Hobbi Sportoló</t>
  </si>
  <si>
    <t>Kiegyensúlyozott, fenntartható vegyes étrend.</t>
  </si>
  <si>
    <t>Top 15 – Költség (Ft)</t>
  </si>
  <si>
    <t>Top 15 – Energia (kcal) (kcal)</t>
  </si>
  <si>
    <t>Top 15 – Szénhidrát (g) (g)</t>
  </si>
  <si>
    <t>Top 15 – Zsír (g) (g)</t>
  </si>
  <si>
    <t>Top 15 – Fehérje (g) (g)</t>
  </si>
  <si>
    <t>Top 15 – Hozzávalók_db (db)</t>
  </si>
  <si>
    <t>Étel</t>
  </si>
  <si>
    <t>Nap</t>
  </si>
  <si>
    <t>Energia</t>
  </si>
  <si>
    <t>Szénhidrát</t>
  </si>
  <si>
    <t>Zsír</t>
  </si>
  <si>
    <t>Fehérje</t>
  </si>
  <si>
    <t>Hozzávalók</t>
  </si>
  <si>
    <t>Hétfő</t>
  </si>
  <si>
    <t>Kedd</t>
  </si>
  <si>
    <t>Szerda</t>
  </si>
  <si>
    <t>Csütörtök</t>
  </si>
  <si>
    <t>Péntek</t>
  </si>
  <si>
    <t>Összesen:</t>
  </si>
  <si>
    <t>Kategória megfelelés a 'Menu' lapon megadott menüre</t>
  </si>
  <si>
    <t>Költség (Ft)</t>
  </si>
  <si>
    <t>Hozzávalók (db)</t>
  </si>
  <si>
    <t>Korlátok (heti max) és ellenőrzés:</t>
  </si>
  <si>
    <t>Menü</t>
  </si>
  <si>
    <t>Megfelel?</t>
  </si>
  <si>
    <t>Típus</t>
  </si>
  <si>
    <t>Kinek?</t>
  </si>
  <si>
    <t>Kcal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</si>
</sst>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\ &quot;Ft&quot;"/>
    <numFmt numFmtId="165" formatCode="#,##0\ &quot;kcal&quot;"/>
    <numFmt numFmtId="166" formatCode="#,##0\ &quot;g&quot;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/>
    </xf>
    <xf numFmtId="164" fontId="0" fillId="0" borderId="1" xfId="0" applyNumberFormat="1" applyBorder="1" applyAlignment="1">
      <alignment vertical="top"/>
    </xf>
    <xf numFmtId="165" fontId="0" fillId="0" borderId="1" xfId="0" applyNumberFormat="1" applyBorder="1" applyAlignment="1">
      <alignment vertical="top"/>
    </xf>
    <xf numFmtId="166" fontId="0" fillId="0" borderId="1" xfId="0" applyNumberFormat="1" applyBorder="1" applyAlignment="1">
      <alignment vertical="top"/>
    </xf>
    <xf numFmtId="1" fontId="0" fillId="0" borderId="1" xfId="0" applyNumberFormat="1" applyBorder="1" applyAlignment="1">
      <alignment vertical="top"/>
    </xf>
    <xf numFmtId="0" fontId="0" fillId="0" borderId="1" xfId="0" applyBorder="1" applyAlignment="1">
      <alignment vertical="top" wrapText="1"/>
    </xf>
    <xf numFmtId="0" fontId="2" fillId="0" borderId="0" xfId="0" applyFont="1"/>
    <xf numFmtId="0" fontId="3" fillId="0" borderId="0" xfId="0" applyFont="1"/>
    <xf numFmtId="0" fontId="0" fillId="0" borderId="1" xfId="0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0" fontId="3" fillId="0" borderId="1" xfId="0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</cellXfs>
  <cellStyles count="1">
    <cellStyle name="Normá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hu-HU"/>
              <a:t>Költség – Top 15 (Ft)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Statisztika!$B$2</c:f>
              <c:strCache>
                <c:ptCount val="1"/>
                <c:pt idx="0">
                  <c:v>Költség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Statisztika!$A$3:$A$17</c:f>
              <c:strCache>
                <c:ptCount val="15"/>
                <c:pt idx="0">
                  <c:v>Grillezett lazac spárgával</c:v>
                </c:pt>
                <c:pt idx="1">
                  <c:v>Cézár saláta csirkével</c:v>
                </c:pt>
                <c:pt idx="2">
                  <c:v>Marhapörkölt galuskával</c:v>
                </c:pt>
                <c:pt idx="3">
                  <c:v>Milánói sertésborda</c:v>
                </c:pt>
                <c:pt idx="4">
                  <c:v>Carbonara tészta</c:v>
                </c:pt>
                <c:pt idx="5">
                  <c:v>Chili con Carne</c:v>
                </c:pt>
                <c:pt idx="6">
                  <c:v>Brassói aprópecsenye</c:v>
                </c:pt>
                <c:pt idx="7">
                  <c:v>Grillezett csirkemell rizzsel</c:v>
                </c:pt>
                <c:pt idx="8">
                  <c:v>Tonhalas tészta</c:v>
                </c:pt>
                <c:pt idx="9">
                  <c:v>Sült hekk kovászos uborkával</c:v>
                </c:pt>
                <c:pt idx="10">
                  <c:v>Rántott sajt sült krumplival</c:v>
                </c:pt>
                <c:pt idx="11">
                  <c:v>Székelykáposzta</c:v>
                </c:pt>
                <c:pt idx="12">
                  <c:v>Rakott karfiol</c:v>
                </c:pt>
                <c:pt idx="13">
                  <c:v>Görög saláta</c:v>
                </c:pt>
                <c:pt idx="14">
                  <c:v>Töltött paprika</c:v>
                </c:pt>
              </c:strCache>
            </c:strRef>
          </c:cat>
          <c:val>
            <c:numRef>
              <c:f>Statisztika!$B$3:$B$17</c:f>
              <c:numCache>
                <c:formatCode>#\ ##0\ "Ft"</c:formatCode>
                <c:ptCount val="15"/>
                <c:pt idx="0">
                  <c:v>1800</c:v>
                </c:pt>
                <c:pt idx="1">
                  <c:v>1700</c:v>
                </c:pt>
                <c:pt idx="2">
                  <c:v>1500</c:v>
                </c:pt>
                <c:pt idx="3">
                  <c:v>1300</c:v>
                </c:pt>
                <c:pt idx="4">
                  <c:v>1300</c:v>
                </c:pt>
                <c:pt idx="5">
                  <c:v>1200</c:v>
                </c:pt>
                <c:pt idx="6">
                  <c:v>1100</c:v>
                </c:pt>
                <c:pt idx="7">
                  <c:v>1100</c:v>
                </c:pt>
                <c:pt idx="8">
                  <c:v>1100</c:v>
                </c:pt>
                <c:pt idx="9">
                  <c:v>1050</c:v>
                </c:pt>
                <c:pt idx="10">
                  <c:v>1050</c:v>
                </c:pt>
                <c:pt idx="11">
                  <c:v>950</c:v>
                </c:pt>
                <c:pt idx="12">
                  <c:v>900</c:v>
                </c:pt>
                <c:pt idx="13">
                  <c:v>900</c:v>
                </c:pt>
                <c:pt idx="14">
                  <c:v>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20-441A-8D73-4FCF9F0E5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hu-HU"/>
                  <a:t>Étel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hu-HU"/>
                  <a:t>Költség (Ft)</a:t>
                </a:r>
              </a:p>
            </c:rich>
          </c:tx>
          <c:overlay val="1"/>
        </c:title>
        <c:numFmt formatCode="#\ ##0\ &quot;Ft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hu-HU"/>
              <a:t>Energia (kcal) – Top 15 (kcal)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Statisztika!$F$2</c:f>
              <c:strCache>
                <c:ptCount val="1"/>
                <c:pt idx="0">
                  <c:v>Energia (kcal)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Statisztika!$E$3:$E$17</c:f>
              <c:strCache>
                <c:ptCount val="15"/>
                <c:pt idx="0">
                  <c:v>Rántott sajt sült krumplival</c:v>
                </c:pt>
                <c:pt idx="1">
                  <c:v>Milánói sertésborda</c:v>
                </c:pt>
                <c:pt idx="2">
                  <c:v>Marhapörkölt galuskával</c:v>
                </c:pt>
                <c:pt idx="3">
                  <c:v>Brassói aprópecsenye</c:v>
                </c:pt>
                <c:pt idx="4">
                  <c:v>Rakott krumpli</c:v>
                </c:pt>
                <c:pt idx="5">
                  <c:v>Carbonara tészta</c:v>
                </c:pt>
                <c:pt idx="6">
                  <c:v>Túrós csusza tepertővel</c:v>
                </c:pt>
                <c:pt idx="7">
                  <c:v>Máglyarakás</c:v>
                </c:pt>
                <c:pt idx="8">
                  <c:v>Bolognai spagetti</c:v>
                </c:pt>
                <c:pt idx="9">
                  <c:v>Tojásos nokedli</c:v>
                </c:pt>
                <c:pt idx="10">
                  <c:v>Székelykáposzta</c:v>
                </c:pt>
                <c:pt idx="11">
                  <c:v>Tonhalas tészta</c:v>
                </c:pt>
                <c:pt idx="12">
                  <c:v>Paradicsomos húsgombóc</c:v>
                </c:pt>
                <c:pt idx="13">
                  <c:v>Rizses hús (Bácskai)</c:v>
                </c:pt>
                <c:pt idx="14">
                  <c:v>Chili con Carne</c:v>
                </c:pt>
              </c:strCache>
            </c:strRef>
          </c:cat>
          <c:val>
            <c:numRef>
              <c:f>Statisztika!$F$3:$F$17</c:f>
              <c:numCache>
                <c:formatCode>#\ ##0\ "kcal"</c:formatCode>
                <c:ptCount val="15"/>
                <c:pt idx="0">
                  <c:v>850</c:v>
                </c:pt>
                <c:pt idx="1">
                  <c:v>820</c:v>
                </c:pt>
                <c:pt idx="2">
                  <c:v>720</c:v>
                </c:pt>
                <c:pt idx="3">
                  <c:v>710</c:v>
                </c:pt>
                <c:pt idx="4">
                  <c:v>680</c:v>
                </c:pt>
                <c:pt idx="5">
                  <c:v>640</c:v>
                </c:pt>
                <c:pt idx="6">
                  <c:v>620</c:v>
                </c:pt>
                <c:pt idx="7">
                  <c:v>590</c:v>
                </c:pt>
                <c:pt idx="8">
                  <c:v>580</c:v>
                </c:pt>
                <c:pt idx="9">
                  <c:v>550</c:v>
                </c:pt>
                <c:pt idx="10">
                  <c:v>540</c:v>
                </c:pt>
                <c:pt idx="11">
                  <c:v>530</c:v>
                </c:pt>
                <c:pt idx="12">
                  <c:v>520</c:v>
                </c:pt>
                <c:pt idx="13">
                  <c:v>520</c:v>
                </c:pt>
                <c:pt idx="14">
                  <c:v>510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59-4BAB-927F-5680DFF213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hu-HU"/>
                  <a:t>Étel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hu-HU"/>
                  <a:t>Energia (kcal) (kcal)</a:t>
                </a:r>
              </a:p>
            </c:rich>
          </c:tx>
          <c:overlay val="1"/>
        </c:title>
        <c:numFmt formatCode="#\ ##0\ &quot;kcal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hu-HU"/>
              <a:t>Szénhidrát (g) – Top 15 (g)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Statisztika!$J$2</c:f>
              <c:strCache>
                <c:ptCount val="1"/>
                <c:pt idx="0">
                  <c:v>Szénhidrát (g)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Statisztika!$I$3:$I$17</c:f>
              <c:strCache>
                <c:ptCount val="15"/>
                <c:pt idx="0">
                  <c:v>Máglyarakás</c:v>
                </c:pt>
                <c:pt idx="1">
                  <c:v>Milánói sertésborda</c:v>
                </c:pt>
                <c:pt idx="2">
                  <c:v>Rántott sajt sült krumplival</c:v>
                </c:pt>
                <c:pt idx="3">
                  <c:v>Tojásos nokedli</c:v>
                </c:pt>
                <c:pt idx="4">
                  <c:v>Gombapörkölt galuskával</c:v>
                </c:pt>
                <c:pt idx="5">
                  <c:v>Tonhalas tészta</c:v>
                </c:pt>
                <c:pt idx="6">
                  <c:v>Bolognai spagetti</c:v>
                </c:pt>
                <c:pt idx="7">
                  <c:v>Carbonara tészta</c:v>
                </c:pt>
                <c:pt idx="8">
                  <c:v>Marhapörkölt galuskával</c:v>
                </c:pt>
                <c:pt idx="9">
                  <c:v>Túrós csusza tepertővel</c:v>
                </c:pt>
                <c:pt idx="10">
                  <c:v>Rizses hús (Bácskai)</c:v>
                </c:pt>
                <c:pt idx="11">
                  <c:v>Brassói aprópecsenye</c:v>
                </c:pt>
                <c:pt idx="12">
                  <c:v>Paradicsomos húsgombóc</c:v>
                </c:pt>
                <c:pt idx="13">
                  <c:v>Paprikás krumpli</c:v>
                </c:pt>
                <c:pt idx="14">
                  <c:v>Grillezett csirkemell rizzsel</c:v>
                </c:pt>
              </c:strCache>
            </c:strRef>
          </c:cat>
          <c:val>
            <c:numRef>
              <c:f>Statisztika!$J$3:$J$17</c:f>
              <c:numCache>
                <c:formatCode>#\ ##0\ "g"</c:formatCode>
                <c:ptCount val="15"/>
                <c:pt idx="0">
                  <c:v>85</c:v>
                </c:pt>
                <c:pt idx="1">
                  <c:v>78</c:v>
                </c:pt>
                <c:pt idx="2">
                  <c:v>75</c:v>
                </c:pt>
                <c:pt idx="3">
                  <c:v>72</c:v>
                </c:pt>
                <c:pt idx="4">
                  <c:v>68</c:v>
                </c:pt>
                <c:pt idx="5">
                  <c:v>68</c:v>
                </c:pt>
                <c:pt idx="6">
                  <c:v>65</c:v>
                </c:pt>
                <c:pt idx="7">
                  <c:v>62</c:v>
                </c:pt>
                <c:pt idx="8">
                  <c:v>60</c:v>
                </c:pt>
                <c:pt idx="9">
                  <c:v>58</c:v>
                </c:pt>
                <c:pt idx="10">
                  <c:v>55</c:v>
                </c:pt>
                <c:pt idx="11">
                  <c:v>48</c:v>
                </c:pt>
                <c:pt idx="12">
                  <c:v>48</c:v>
                </c:pt>
                <c:pt idx="13">
                  <c:v>45</c:v>
                </c:pt>
                <c:pt idx="14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9F-4A7C-BC67-46545C49C4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hu-HU"/>
                  <a:t>Étel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hu-HU"/>
                  <a:t>Szénhidrát (g) (g)</a:t>
                </a:r>
              </a:p>
            </c:rich>
          </c:tx>
          <c:overlay val="1"/>
        </c:title>
        <c:numFmt formatCode="#\ ##0\ &quot;g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hu-HU"/>
              <a:t>Zsír (g) – Top 15 (g)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Statisztika!$N$2</c:f>
              <c:strCache>
                <c:ptCount val="1"/>
                <c:pt idx="0">
                  <c:v>Zsír (g)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Statisztika!$M$3:$M$17</c:f>
              <c:strCache>
                <c:ptCount val="15"/>
                <c:pt idx="0">
                  <c:v>Rántott sajt sült krumplival</c:v>
                </c:pt>
                <c:pt idx="1">
                  <c:v>Rakott krumpli</c:v>
                </c:pt>
                <c:pt idx="2">
                  <c:v>Brassói aprópecsenye</c:v>
                </c:pt>
                <c:pt idx="3">
                  <c:v>Milánói sertésborda</c:v>
                </c:pt>
                <c:pt idx="4">
                  <c:v>Székelykáposzta</c:v>
                </c:pt>
                <c:pt idx="5">
                  <c:v>Marhapörkölt galuskával</c:v>
                </c:pt>
                <c:pt idx="6">
                  <c:v>Carbonara tészta</c:v>
                </c:pt>
                <c:pt idx="7">
                  <c:v>Túrós csusza tepertővel</c:v>
                </c:pt>
                <c:pt idx="8">
                  <c:v>Rakott karfiol</c:v>
                </c:pt>
                <c:pt idx="9">
                  <c:v>Grillezett lazac spárgával</c:v>
                </c:pt>
                <c:pt idx="10">
                  <c:v>Gulyásleves</c:v>
                </c:pt>
                <c:pt idx="11">
                  <c:v>Sült hekk kovászos uborkával</c:v>
                </c:pt>
                <c:pt idx="12">
                  <c:v>Paradicsomos húsgombóc</c:v>
                </c:pt>
                <c:pt idx="13">
                  <c:v>Görög saláta</c:v>
                </c:pt>
                <c:pt idx="14">
                  <c:v>Lecsó tojással</c:v>
                </c:pt>
              </c:strCache>
            </c:strRef>
          </c:cat>
          <c:val>
            <c:numRef>
              <c:f>Statisztika!$N$3:$N$17</c:f>
              <c:numCache>
                <c:formatCode>#\ ##0\ "g"</c:formatCode>
                <c:ptCount val="15"/>
                <c:pt idx="0">
                  <c:v>48</c:v>
                </c:pt>
                <c:pt idx="1">
                  <c:v>45</c:v>
                </c:pt>
                <c:pt idx="2">
                  <c:v>42</c:v>
                </c:pt>
                <c:pt idx="3">
                  <c:v>38</c:v>
                </c:pt>
                <c:pt idx="4">
                  <c:v>38</c:v>
                </c:pt>
                <c:pt idx="5">
                  <c:v>35</c:v>
                </c:pt>
                <c:pt idx="6">
                  <c:v>34</c:v>
                </c:pt>
                <c:pt idx="7">
                  <c:v>32</c:v>
                </c:pt>
                <c:pt idx="8">
                  <c:v>32</c:v>
                </c:pt>
                <c:pt idx="9">
                  <c:v>28</c:v>
                </c:pt>
                <c:pt idx="10">
                  <c:v>25</c:v>
                </c:pt>
                <c:pt idx="11">
                  <c:v>25</c:v>
                </c:pt>
                <c:pt idx="12">
                  <c:v>24</c:v>
                </c:pt>
                <c:pt idx="13">
                  <c:v>22</c:v>
                </c:pt>
                <c:pt idx="14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18-4EBA-9A3B-703388B903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hu-HU"/>
                  <a:t>Étel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hu-HU"/>
                  <a:t>Zsír (g) (g)</a:t>
                </a:r>
              </a:p>
            </c:rich>
          </c:tx>
          <c:overlay val="1"/>
        </c:title>
        <c:numFmt formatCode="#\ ##0\ &quot;g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hu-HU"/>
              <a:t>Fehérje (g) – Top 15 (g)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Statisztika!$R$2</c:f>
              <c:strCache>
                <c:ptCount val="1"/>
                <c:pt idx="0">
                  <c:v>Fehérje (g)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Statisztika!$Q$3:$Q$17</c:f>
              <c:strCache>
                <c:ptCount val="15"/>
                <c:pt idx="0">
                  <c:v>Grillezett csirkemell rizzsel</c:v>
                </c:pt>
                <c:pt idx="1">
                  <c:v>Chili con Carne</c:v>
                </c:pt>
                <c:pt idx="2">
                  <c:v>Marhapörkölt galuskával</c:v>
                </c:pt>
                <c:pt idx="3">
                  <c:v>Milánói sertésborda</c:v>
                </c:pt>
                <c:pt idx="4">
                  <c:v>Sült hekk kovászos uborkával</c:v>
                </c:pt>
                <c:pt idx="5">
                  <c:v>Brassói aprópecsenye</c:v>
                </c:pt>
                <c:pt idx="6">
                  <c:v>Grillezett lazac spárgával</c:v>
                </c:pt>
                <c:pt idx="7">
                  <c:v>Cézár saláta csirkével</c:v>
                </c:pt>
                <c:pt idx="8">
                  <c:v>Rizses hús (Bácskai)</c:v>
                </c:pt>
                <c:pt idx="9">
                  <c:v>Székelykáposzta</c:v>
                </c:pt>
                <c:pt idx="10">
                  <c:v>Tonhalas tészta</c:v>
                </c:pt>
                <c:pt idx="11">
                  <c:v>Bolognai spagetti</c:v>
                </c:pt>
                <c:pt idx="12">
                  <c:v>Rántott sajt sült krumplival</c:v>
                </c:pt>
                <c:pt idx="13">
                  <c:v>Rakott krumpli</c:v>
                </c:pt>
                <c:pt idx="14">
                  <c:v>Rakott karfiol</c:v>
                </c:pt>
              </c:strCache>
            </c:strRef>
          </c:cat>
          <c:val>
            <c:numRef>
              <c:f>Statisztika!$R$3:$R$17</c:f>
              <c:numCache>
                <c:formatCode>#\ ##0\ "g"</c:formatCode>
                <c:ptCount val="15"/>
                <c:pt idx="0">
                  <c:v>42</c:v>
                </c:pt>
                <c:pt idx="1">
                  <c:v>38</c:v>
                </c:pt>
                <c:pt idx="2">
                  <c:v>38</c:v>
                </c:pt>
                <c:pt idx="3">
                  <c:v>36</c:v>
                </c:pt>
                <c:pt idx="4">
                  <c:v>34</c:v>
                </c:pt>
                <c:pt idx="5">
                  <c:v>32</c:v>
                </c:pt>
                <c:pt idx="6">
                  <c:v>32</c:v>
                </c:pt>
                <c:pt idx="7">
                  <c:v>32</c:v>
                </c:pt>
                <c:pt idx="8">
                  <c:v>28</c:v>
                </c:pt>
                <c:pt idx="9">
                  <c:v>28</c:v>
                </c:pt>
                <c:pt idx="10">
                  <c:v>28</c:v>
                </c:pt>
                <c:pt idx="11">
                  <c:v>28</c:v>
                </c:pt>
                <c:pt idx="12">
                  <c:v>28</c:v>
                </c:pt>
                <c:pt idx="13">
                  <c:v>28</c:v>
                </c:pt>
                <c:pt idx="1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8C-4A5F-8497-18F30B305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hu-HU"/>
                  <a:t>Étel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hu-HU"/>
                  <a:t>Fehérje (g) (g)</a:t>
                </a:r>
              </a:p>
            </c:rich>
          </c:tx>
          <c:overlay val="1"/>
        </c:title>
        <c:numFmt formatCode="#\ ##0\ &quot;g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hu-HU"/>
              <a:t>Hozzávalók_db – Top 15 (db)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Statisztika!$V$3</c:f>
              <c:strCache>
                <c:ptCount val="1"/>
                <c:pt idx="0">
                  <c:v>Hozzávalók_db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Statisztika!$U$3:$U$17</c:f>
              <c:strCache>
                <c:ptCount val="15"/>
                <c:pt idx="0">
                  <c:v>Bolognai spagetti</c:v>
                </c:pt>
                <c:pt idx="1">
                  <c:v>Grillezett csirkemell rizzsel</c:v>
                </c:pt>
                <c:pt idx="2">
                  <c:v>Máglyarakás</c:v>
                </c:pt>
                <c:pt idx="3">
                  <c:v>Rizses hús (Bácskai)</c:v>
                </c:pt>
                <c:pt idx="4">
                  <c:v>Lecsó tojással</c:v>
                </c:pt>
                <c:pt idx="5">
                  <c:v>Grillezett lazac spárgával</c:v>
                </c:pt>
                <c:pt idx="6">
                  <c:v>Töltött paprika</c:v>
                </c:pt>
                <c:pt idx="7">
                  <c:v>Milánói sertésborda</c:v>
                </c:pt>
                <c:pt idx="8">
                  <c:v>Székelykáposzta</c:v>
                </c:pt>
                <c:pt idx="9">
                  <c:v>Húsleves cérnametélttel</c:v>
                </c:pt>
                <c:pt idx="10">
                  <c:v>Tonhalas tészta</c:v>
                </c:pt>
                <c:pt idx="11">
                  <c:v>Zöldborsófőzelék</c:v>
                </c:pt>
                <c:pt idx="12">
                  <c:v>Rakott karfiol</c:v>
                </c:pt>
                <c:pt idx="13">
                  <c:v>Sült hekk kovászos uborkával</c:v>
                </c:pt>
                <c:pt idx="14">
                  <c:v>Görög saláta</c:v>
                </c:pt>
              </c:strCache>
            </c:strRef>
          </c:cat>
          <c:val>
            <c:numRef>
              <c:f>Statisztika!$V$4:$V$18</c:f>
              <c:numCache>
                <c:formatCode>0</c:formatCode>
                <c:ptCount val="15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B5-4FF7-AB3C-DE122D504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hu-HU"/>
                  <a:t>Étel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hu-HU"/>
                  <a:t>Hozzávalók_db (db)</a:t>
                </a:r>
              </a:p>
            </c:rich>
          </c:tx>
          <c:overlay val="1"/>
        </c:title>
        <c:numFmt formatCode="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20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4</xdr:col>
      <xdr:colOff>0</xdr:colOff>
      <xdr:row>20</xdr:row>
      <xdr:rowOff>0</xdr:rowOff>
    </xdr:from>
    <xdr:ext cx="576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8</xdr:col>
      <xdr:colOff>0</xdr:colOff>
      <xdr:row>20</xdr:row>
      <xdr:rowOff>0</xdr:rowOff>
    </xdr:from>
    <xdr:ext cx="576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12</xdr:col>
      <xdr:colOff>0</xdr:colOff>
      <xdr:row>20</xdr:row>
      <xdr:rowOff>0</xdr:rowOff>
    </xdr:from>
    <xdr:ext cx="5760000" cy="28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16</xdr:col>
      <xdr:colOff>0</xdr:colOff>
      <xdr:row>20</xdr:row>
      <xdr:rowOff>0</xdr:rowOff>
    </xdr:from>
    <xdr:ext cx="5760000" cy="28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20</xdr:col>
      <xdr:colOff>0</xdr:colOff>
      <xdr:row>20</xdr:row>
      <xdr:rowOff>0</xdr:rowOff>
    </xdr:from>
    <xdr:ext cx="5760000" cy="28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Etelek" displayName="tblEtelek" ref="A1:H31">
  <autoFilter ref="A1:H31" xr:uid="{00000000-0009-0000-0100-000001000000}"/>
  <tableColumns count="8">
    <tableColumn id="1" xr3:uid="{00000000-0010-0000-0000-000001000000}" name="Név"/>
    <tableColumn id="2" xr3:uid="{00000000-0010-0000-0000-000002000000}" name="Költség"/>
    <tableColumn id="3" xr3:uid="{00000000-0010-0000-0000-000003000000}" name="Energia (kcal)"/>
    <tableColumn id="4" xr3:uid="{00000000-0010-0000-0000-000004000000}" name="Szénhidrát (g)"/>
    <tableColumn id="5" xr3:uid="{00000000-0010-0000-0000-000005000000}" name="Zsír (g)"/>
    <tableColumn id="6" xr3:uid="{00000000-0010-0000-0000-000006000000}" name="Fehérje (g)"/>
    <tableColumn id="7" xr3:uid="{00000000-0010-0000-0000-000007000000}" name="Hozzávalók_db"/>
    <tableColumn id="8" xr3:uid="{00000000-0010-0000-0000-000008000000}" name="Hozzávalók_nevek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Kategoriak" displayName="tblKategoriak" ref="A1:F9">
  <autoFilter ref="A1:F9" xr:uid="{00000000-0009-0000-0100-000002000000}"/>
  <tableColumns count="6">
    <tableColumn id="1" xr3:uid="{00000000-0010-0000-0100-000001000000}" name="Kategória név"/>
    <tableColumn id="2" xr3:uid="{00000000-0010-0000-0100-000002000000}" name="Leírás / Célkitűzés"/>
    <tableColumn id="3" xr3:uid="{00000000-0010-0000-0100-000003000000}" name="Heti max. Energia (kcal)"/>
    <tableColumn id="4" xr3:uid="{00000000-0010-0000-0100-000004000000}" name="Heti max. Szénhidrát (g)"/>
    <tableColumn id="5" xr3:uid="{00000000-0010-0000-0100-000005000000}" name="Heti max. Zsír (g)"/>
    <tableColumn id="6" xr3:uid="{00000000-0010-0000-0100-000006000000}" name="Heti max. Fehérje (g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1"/>
  <sheetViews>
    <sheetView workbookViewId="0">
      <pane ySplit="1" topLeftCell="A11" activePane="bottomLeft" state="frozen"/>
      <selection pane="bottomLeft" activeCell="K18" sqref="K18"/>
    </sheetView>
  </sheetViews>
  <sheetFormatPr defaultRowHeight="15" x14ac:dyDescent="0.25"/>
  <cols>
    <col min="1" max="1" width="26.140625" customWidth="1"/>
    <col min="2" max="2" width="10" customWidth="1"/>
    <col min="3" max="4" width="12.5703125" customWidth="1"/>
    <col min="5" max="6" width="10" customWidth="1"/>
    <col min="7" max="7" width="11.7109375" customWidth="1"/>
    <col min="8" max="8" width="4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30" x14ac:dyDescent="0.25">
      <c r="A2" s="2" t="s">
        <v>8</v>
      </c>
      <c r="B2" s="3">
        <v>800</v>
      </c>
      <c r="C2" s="4">
        <v>580</v>
      </c>
      <c r="D2" s="5">
        <v>65</v>
      </c>
      <c r="E2" s="5">
        <v>22</v>
      </c>
      <c r="F2" s="5">
        <v>28</v>
      </c>
      <c r="G2" s="6">
        <v>4</v>
      </c>
      <c r="H2" s="7" t="s">
        <v>9</v>
      </c>
    </row>
    <row r="3" spans="1:8" x14ac:dyDescent="0.25">
      <c r="A3" s="2" t="s">
        <v>10</v>
      </c>
      <c r="B3" s="3">
        <v>1100</v>
      </c>
      <c r="C3" s="4">
        <v>450</v>
      </c>
      <c r="D3" s="5">
        <v>45</v>
      </c>
      <c r="E3" s="5">
        <v>8</v>
      </c>
      <c r="F3" s="5">
        <v>42</v>
      </c>
      <c r="G3" s="6">
        <v>4</v>
      </c>
      <c r="H3" s="7" t="s">
        <v>11</v>
      </c>
    </row>
    <row r="4" spans="1:8" ht="30" x14ac:dyDescent="0.25">
      <c r="A4" s="2" t="s">
        <v>12</v>
      </c>
      <c r="B4" s="3">
        <v>700</v>
      </c>
      <c r="C4" s="4">
        <v>520</v>
      </c>
      <c r="D4" s="5">
        <v>48</v>
      </c>
      <c r="E4" s="5">
        <v>24</v>
      </c>
      <c r="F4" s="5">
        <v>26</v>
      </c>
      <c r="G4" s="6">
        <v>4</v>
      </c>
      <c r="H4" s="7" t="s">
        <v>13</v>
      </c>
    </row>
    <row r="5" spans="1:8" x14ac:dyDescent="0.25">
      <c r="A5" s="2" t="s">
        <v>14</v>
      </c>
      <c r="B5" s="3">
        <v>500</v>
      </c>
      <c r="C5" s="4">
        <v>410</v>
      </c>
      <c r="D5" s="5">
        <v>38</v>
      </c>
      <c r="E5" s="5">
        <v>18</v>
      </c>
      <c r="F5" s="5">
        <v>22</v>
      </c>
      <c r="G5" s="6">
        <v>4</v>
      </c>
      <c r="H5" s="7" t="s">
        <v>15</v>
      </c>
    </row>
    <row r="6" spans="1:8" x14ac:dyDescent="0.25">
      <c r="A6" s="2" t="s">
        <v>16</v>
      </c>
      <c r="B6" s="3">
        <v>1500</v>
      </c>
      <c r="C6" s="4">
        <v>720</v>
      </c>
      <c r="D6" s="5">
        <v>60</v>
      </c>
      <c r="E6" s="5">
        <v>35</v>
      </c>
      <c r="F6" s="5">
        <v>38</v>
      </c>
      <c r="G6" s="6">
        <v>4</v>
      </c>
      <c r="H6" s="7" t="s">
        <v>17</v>
      </c>
    </row>
    <row r="7" spans="1:8" x14ac:dyDescent="0.25">
      <c r="A7" s="2" t="s">
        <v>18</v>
      </c>
      <c r="B7" s="3">
        <v>1700</v>
      </c>
      <c r="C7" s="4">
        <v>380</v>
      </c>
      <c r="D7" s="5">
        <v>12</v>
      </c>
      <c r="E7" s="5">
        <v>22</v>
      </c>
      <c r="F7" s="5">
        <v>32</v>
      </c>
      <c r="G7" s="6">
        <v>4</v>
      </c>
      <c r="H7" s="7" t="s">
        <v>19</v>
      </c>
    </row>
    <row r="8" spans="1:8" x14ac:dyDescent="0.25">
      <c r="A8" s="2" t="s">
        <v>20</v>
      </c>
      <c r="B8" s="3">
        <v>400</v>
      </c>
      <c r="C8" s="4">
        <v>550</v>
      </c>
      <c r="D8" s="5">
        <v>72</v>
      </c>
      <c r="E8" s="5">
        <v>18</v>
      </c>
      <c r="F8" s="5">
        <v>20</v>
      </c>
      <c r="G8" s="6">
        <v>4</v>
      </c>
      <c r="H8" s="7" t="s">
        <v>21</v>
      </c>
    </row>
    <row r="9" spans="1:8" x14ac:dyDescent="0.25">
      <c r="A9" s="2" t="s">
        <v>22</v>
      </c>
      <c r="B9" s="3">
        <v>800</v>
      </c>
      <c r="C9" s="4">
        <v>680</v>
      </c>
      <c r="D9" s="5">
        <v>42</v>
      </c>
      <c r="E9" s="5">
        <v>45</v>
      </c>
      <c r="F9" s="5">
        <v>28</v>
      </c>
      <c r="G9" s="6">
        <v>4</v>
      </c>
      <c r="H9" s="7" t="s">
        <v>23</v>
      </c>
    </row>
    <row r="10" spans="1:8" x14ac:dyDescent="0.25">
      <c r="A10" s="2" t="s">
        <v>24</v>
      </c>
      <c r="B10" s="3">
        <v>450</v>
      </c>
      <c r="C10" s="4">
        <v>180</v>
      </c>
      <c r="D10" s="5">
        <v>25</v>
      </c>
      <c r="E10" s="5">
        <v>6</v>
      </c>
      <c r="F10" s="5">
        <v>5</v>
      </c>
      <c r="G10" s="6">
        <v>4</v>
      </c>
      <c r="H10" s="7" t="s">
        <v>25</v>
      </c>
    </row>
    <row r="11" spans="1:8" x14ac:dyDescent="0.25">
      <c r="A11" s="2" t="s">
        <v>26</v>
      </c>
      <c r="B11" s="3">
        <v>800</v>
      </c>
      <c r="C11" s="4">
        <v>450</v>
      </c>
      <c r="D11" s="5">
        <v>30</v>
      </c>
      <c r="E11" s="5">
        <v>25</v>
      </c>
      <c r="F11" s="5">
        <v>24</v>
      </c>
      <c r="G11" s="6">
        <v>4</v>
      </c>
      <c r="H11" s="7" t="s">
        <v>27</v>
      </c>
    </row>
    <row r="12" spans="1:8" x14ac:dyDescent="0.25">
      <c r="A12" s="2" t="s">
        <v>28</v>
      </c>
      <c r="B12" s="3">
        <v>700</v>
      </c>
      <c r="C12" s="4">
        <v>620</v>
      </c>
      <c r="D12" s="5">
        <v>58</v>
      </c>
      <c r="E12" s="5">
        <v>32</v>
      </c>
      <c r="F12" s="5">
        <v>24</v>
      </c>
      <c r="G12" s="6">
        <v>4</v>
      </c>
      <c r="H12" s="7" t="s">
        <v>29</v>
      </c>
    </row>
    <row r="13" spans="1:8" ht="30" x14ac:dyDescent="0.25">
      <c r="A13" s="2" t="s">
        <v>30</v>
      </c>
      <c r="B13" s="3">
        <v>1050</v>
      </c>
      <c r="C13" s="4">
        <v>850</v>
      </c>
      <c r="D13" s="5">
        <v>75</v>
      </c>
      <c r="E13" s="5">
        <v>48</v>
      </c>
      <c r="F13" s="5">
        <v>28</v>
      </c>
      <c r="G13" s="6">
        <v>4</v>
      </c>
      <c r="H13" s="7" t="s">
        <v>31</v>
      </c>
    </row>
    <row r="14" spans="1:8" ht="30" x14ac:dyDescent="0.25">
      <c r="A14" s="2" t="s">
        <v>32</v>
      </c>
      <c r="B14" s="3">
        <v>550</v>
      </c>
      <c r="C14" s="4">
        <v>380</v>
      </c>
      <c r="D14" s="5">
        <v>45</v>
      </c>
      <c r="E14" s="5">
        <v>18</v>
      </c>
      <c r="F14" s="5">
        <v>10</v>
      </c>
      <c r="G14" s="6">
        <v>4</v>
      </c>
      <c r="H14" s="7" t="s">
        <v>33</v>
      </c>
    </row>
    <row r="15" spans="1:8" ht="30" x14ac:dyDescent="0.25">
      <c r="A15" s="2" t="s">
        <v>34</v>
      </c>
      <c r="B15" s="3">
        <v>1300</v>
      </c>
      <c r="C15" s="4">
        <v>640</v>
      </c>
      <c r="D15" s="5">
        <v>62</v>
      </c>
      <c r="E15" s="5">
        <v>34</v>
      </c>
      <c r="F15" s="5">
        <v>22</v>
      </c>
      <c r="G15" s="6">
        <v>4</v>
      </c>
      <c r="H15" s="7" t="s">
        <v>35</v>
      </c>
    </row>
    <row r="16" spans="1:8" ht="30" x14ac:dyDescent="0.25">
      <c r="A16" s="2" t="s">
        <v>36</v>
      </c>
      <c r="B16" s="3">
        <v>1200</v>
      </c>
      <c r="C16" s="4">
        <v>510</v>
      </c>
      <c r="D16" s="5">
        <v>35</v>
      </c>
      <c r="E16" s="5">
        <v>22</v>
      </c>
      <c r="F16" s="5">
        <v>38</v>
      </c>
      <c r="G16" s="6">
        <v>4</v>
      </c>
      <c r="H16" s="7" t="s">
        <v>37</v>
      </c>
    </row>
    <row r="17" spans="1:8" ht="30" x14ac:dyDescent="0.25">
      <c r="A17" s="2" t="s">
        <v>38</v>
      </c>
      <c r="B17" s="3">
        <v>1100</v>
      </c>
      <c r="C17" s="4">
        <v>710</v>
      </c>
      <c r="D17" s="5">
        <v>48</v>
      </c>
      <c r="E17" s="5">
        <v>42</v>
      </c>
      <c r="F17" s="5">
        <v>32</v>
      </c>
      <c r="G17" s="6">
        <v>4</v>
      </c>
      <c r="H17" s="7" t="s">
        <v>39</v>
      </c>
    </row>
    <row r="18" spans="1:8" x14ac:dyDescent="0.25">
      <c r="A18" s="2" t="s">
        <v>40</v>
      </c>
      <c r="B18" s="3">
        <v>900</v>
      </c>
      <c r="C18" s="4">
        <v>280</v>
      </c>
      <c r="D18" s="5">
        <v>10</v>
      </c>
      <c r="E18" s="5">
        <v>22</v>
      </c>
      <c r="F18" s="5">
        <v>8</v>
      </c>
      <c r="G18" s="6">
        <v>4</v>
      </c>
      <c r="H18" s="7" t="s">
        <v>41</v>
      </c>
    </row>
    <row r="19" spans="1:8" ht="30" x14ac:dyDescent="0.25">
      <c r="A19" s="2" t="s">
        <v>42</v>
      </c>
      <c r="B19" s="3">
        <v>1050</v>
      </c>
      <c r="C19" s="4">
        <v>420</v>
      </c>
      <c r="D19" s="5">
        <v>15</v>
      </c>
      <c r="E19" s="5">
        <v>25</v>
      </c>
      <c r="F19" s="5">
        <v>34</v>
      </c>
      <c r="G19" s="6">
        <v>4</v>
      </c>
      <c r="H19" s="7" t="s">
        <v>43</v>
      </c>
    </row>
    <row r="20" spans="1:8" x14ac:dyDescent="0.25">
      <c r="A20" s="2" t="s">
        <v>44</v>
      </c>
      <c r="B20" s="3">
        <v>900</v>
      </c>
      <c r="C20" s="4">
        <v>480</v>
      </c>
      <c r="D20" s="5">
        <v>18</v>
      </c>
      <c r="E20" s="5">
        <v>32</v>
      </c>
      <c r="F20" s="5">
        <v>26</v>
      </c>
      <c r="G20" s="6">
        <v>4</v>
      </c>
      <c r="H20" s="7" t="s">
        <v>45</v>
      </c>
    </row>
    <row r="21" spans="1:8" x14ac:dyDescent="0.25">
      <c r="A21" s="2" t="s">
        <v>46</v>
      </c>
      <c r="B21" s="3">
        <v>350</v>
      </c>
      <c r="C21" s="4">
        <v>320</v>
      </c>
      <c r="D21" s="5">
        <v>42</v>
      </c>
      <c r="E21" s="5">
        <v>10</v>
      </c>
      <c r="F21" s="5">
        <v>14</v>
      </c>
      <c r="G21" s="6">
        <v>4</v>
      </c>
      <c r="H21" s="7" t="s">
        <v>47</v>
      </c>
    </row>
    <row r="22" spans="1:8" ht="30" x14ac:dyDescent="0.25">
      <c r="A22" s="2" t="s">
        <v>48</v>
      </c>
      <c r="B22" s="3">
        <v>1100</v>
      </c>
      <c r="C22" s="4">
        <v>530</v>
      </c>
      <c r="D22" s="5">
        <v>68</v>
      </c>
      <c r="E22" s="5">
        <v>15</v>
      </c>
      <c r="F22" s="5">
        <v>28</v>
      </c>
      <c r="G22" s="6">
        <v>4</v>
      </c>
      <c r="H22" s="7" t="s">
        <v>49</v>
      </c>
    </row>
    <row r="23" spans="1:8" x14ac:dyDescent="0.25">
      <c r="A23" s="2" t="s">
        <v>50</v>
      </c>
      <c r="B23" s="3">
        <v>650</v>
      </c>
      <c r="C23" s="4">
        <v>210</v>
      </c>
      <c r="D23" s="5">
        <v>18</v>
      </c>
      <c r="E23" s="5">
        <v>8</v>
      </c>
      <c r="F23" s="5">
        <v>16</v>
      </c>
      <c r="G23" s="6">
        <v>4</v>
      </c>
      <c r="H23" s="7" t="s">
        <v>51</v>
      </c>
    </row>
    <row r="24" spans="1:8" x14ac:dyDescent="0.25">
      <c r="A24" s="2" t="s">
        <v>52</v>
      </c>
      <c r="B24" s="3">
        <v>950</v>
      </c>
      <c r="C24" s="4">
        <v>540</v>
      </c>
      <c r="D24" s="5">
        <v>15</v>
      </c>
      <c r="E24" s="5">
        <v>38</v>
      </c>
      <c r="F24" s="5">
        <v>28</v>
      </c>
      <c r="G24" s="6">
        <v>4</v>
      </c>
      <c r="H24" s="7" t="s">
        <v>53</v>
      </c>
    </row>
    <row r="25" spans="1:8" x14ac:dyDescent="0.25">
      <c r="A25" s="2" t="s">
        <v>54</v>
      </c>
      <c r="B25" s="3">
        <v>1300</v>
      </c>
      <c r="C25" s="4">
        <v>820</v>
      </c>
      <c r="D25" s="5">
        <v>78</v>
      </c>
      <c r="E25" s="5">
        <v>38</v>
      </c>
      <c r="F25" s="5">
        <v>36</v>
      </c>
      <c r="G25" s="6">
        <v>4</v>
      </c>
      <c r="H25" s="7" t="s">
        <v>55</v>
      </c>
    </row>
    <row r="26" spans="1:8" x14ac:dyDescent="0.25">
      <c r="A26" s="2" t="s">
        <v>56</v>
      </c>
      <c r="B26" s="3">
        <v>800</v>
      </c>
      <c r="C26" s="4">
        <v>460</v>
      </c>
      <c r="D26" s="5">
        <v>42</v>
      </c>
      <c r="E26" s="5">
        <v>20</v>
      </c>
      <c r="F26" s="5">
        <v>24</v>
      </c>
      <c r="G26" s="6">
        <v>4</v>
      </c>
      <c r="H26" s="7" t="s">
        <v>57</v>
      </c>
    </row>
    <row r="27" spans="1:8" x14ac:dyDescent="0.25">
      <c r="A27" s="2" t="s">
        <v>58</v>
      </c>
      <c r="B27" s="3">
        <v>1800</v>
      </c>
      <c r="C27" s="4">
        <v>410</v>
      </c>
      <c r="D27" s="5">
        <v>8</v>
      </c>
      <c r="E27" s="5">
        <v>28</v>
      </c>
      <c r="F27" s="5">
        <v>32</v>
      </c>
      <c r="G27" s="6">
        <v>4</v>
      </c>
      <c r="H27" s="7" t="s">
        <v>59</v>
      </c>
    </row>
    <row r="28" spans="1:8" x14ac:dyDescent="0.25">
      <c r="A28" s="2" t="s">
        <v>60</v>
      </c>
      <c r="B28" s="3">
        <v>400</v>
      </c>
      <c r="C28" s="4">
        <v>310</v>
      </c>
      <c r="D28" s="5">
        <v>15</v>
      </c>
      <c r="E28" s="5">
        <v>22</v>
      </c>
      <c r="F28" s="5">
        <v>14</v>
      </c>
      <c r="G28" s="6">
        <v>4</v>
      </c>
      <c r="H28" s="7" t="s">
        <v>61</v>
      </c>
    </row>
    <row r="29" spans="1:8" x14ac:dyDescent="0.25">
      <c r="A29" s="2" t="s">
        <v>62</v>
      </c>
      <c r="B29" s="3">
        <v>550</v>
      </c>
      <c r="C29" s="4">
        <v>520</v>
      </c>
      <c r="D29" s="5">
        <v>55</v>
      </c>
      <c r="E29" s="5">
        <v>18</v>
      </c>
      <c r="F29" s="5">
        <v>28</v>
      </c>
      <c r="G29" s="6">
        <v>4</v>
      </c>
      <c r="H29" s="7" t="s">
        <v>63</v>
      </c>
    </row>
    <row r="30" spans="1:8" x14ac:dyDescent="0.25">
      <c r="A30" s="2" t="s">
        <v>64</v>
      </c>
      <c r="B30" s="3">
        <v>650</v>
      </c>
      <c r="C30" s="4">
        <v>590</v>
      </c>
      <c r="D30" s="5">
        <v>85</v>
      </c>
      <c r="E30" s="5">
        <v>18</v>
      </c>
      <c r="F30" s="5">
        <v>16</v>
      </c>
      <c r="G30" s="6">
        <v>4</v>
      </c>
      <c r="H30" s="7" t="s">
        <v>65</v>
      </c>
    </row>
    <row r="31" spans="1:8" x14ac:dyDescent="0.25">
      <c r="A31" s="2" t="s">
        <v>66</v>
      </c>
      <c r="B31" s="3">
        <v>750</v>
      </c>
      <c r="C31" s="4">
        <v>490</v>
      </c>
      <c r="D31" s="5">
        <v>68</v>
      </c>
      <c r="E31" s="5">
        <v>16</v>
      </c>
      <c r="F31" s="5">
        <v>14</v>
      </c>
      <c r="G31" s="6">
        <v>4</v>
      </c>
      <c r="H31" s="7" t="s">
        <v>67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30" customWidth="1"/>
    <col min="2" max="2" width="70" customWidth="1"/>
    <col min="3" max="6" width="22" customWidth="1"/>
  </cols>
  <sheetData>
    <row r="1" spans="1:6" x14ac:dyDescent="0.25">
      <c r="A1" s="1" t="s">
        <v>68</v>
      </c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</row>
    <row r="2" spans="1:6" x14ac:dyDescent="0.25">
      <c r="A2" s="2" t="s">
        <v>74</v>
      </c>
      <c r="B2" s="7" t="s">
        <v>75</v>
      </c>
      <c r="C2" s="4">
        <v>1300</v>
      </c>
      <c r="D2" s="5">
        <v>70</v>
      </c>
      <c r="E2" s="5">
        <v>35</v>
      </c>
      <c r="F2" s="5">
        <v>200</v>
      </c>
    </row>
    <row r="3" spans="1:6" x14ac:dyDescent="0.25">
      <c r="A3" s="2" t="s">
        <v>76</v>
      </c>
      <c r="B3" s="7" t="s">
        <v>77</v>
      </c>
      <c r="C3" s="4">
        <v>4000</v>
      </c>
      <c r="D3" s="5">
        <v>350</v>
      </c>
      <c r="E3" s="5">
        <v>270</v>
      </c>
      <c r="F3" s="5">
        <v>300</v>
      </c>
    </row>
    <row r="4" spans="1:6" x14ac:dyDescent="0.25">
      <c r="A4" s="2" t="s">
        <v>78</v>
      </c>
      <c r="B4" s="7" t="s">
        <v>79</v>
      </c>
      <c r="C4" s="4">
        <v>2100</v>
      </c>
      <c r="D4" s="5">
        <v>50</v>
      </c>
      <c r="E4" s="5">
        <v>200</v>
      </c>
      <c r="F4" s="5">
        <v>180</v>
      </c>
    </row>
    <row r="5" spans="1:6" x14ac:dyDescent="0.25">
      <c r="A5" s="2" t="s">
        <v>80</v>
      </c>
      <c r="B5" s="7" t="s">
        <v>81</v>
      </c>
      <c r="C5" s="4">
        <v>1600</v>
      </c>
      <c r="D5" s="5">
        <v>250</v>
      </c>
      <c r="E5" s="5">
        <v>160</v>
      </c>
      <c r="F5" s="5">
        <v>150</v>
      </c>
    </row>
    <row r="6" spans="1:6" x14ac:dyDescent="0.25">
      <c r="A6" s="2" t="s">
        <v>82</v>
      </c>
      <c r="B6" s="7" t="s">
        <v>83</v>
      </c>
      <c r="C6" s="4">
        <v>2100</v>
      </c>
      <c r="D6" s="5">
        <v>70</v>
      </c>
      <c r="E6" s="5">
        <v>180</v>
      </c>
      <c r="F6" s="5">
        <v>200</v>
      </c>
    </row>
    <row r="7" spans="1:6" x14ac:dyDescent="0.25">
      <c r="A7" s="2" t="s">
        <v>84</v>
      </c>
      <c r="B7" s="7" t="s">
        <v>85</v>
      </c>
      <c r="C7" s="4">
        <v>2000</v>
      </c>
      <c r="D7" s="5">
        <v>200</v>
      </c>
      <c r="E7" s="5">
        <v>150</v>
      </c>
      <c r="F7" s="5">
        <v>180</v>
      </c>
    </row>
    <row r="8" spans="1:6" x14ac:dyDescent="0.25">
      <c r="A8" s="2" t="s">
        <v>86</v>
      </c>
      <c r="B8" s="7" t="s">
        <v>87</v>
      </c>
      <c r="C8" s="4">
        <v>1500</v>
      </c>
      <c r="D8" s="5">
        <v>100</v>
      </c>
      <c r="E8" s="5">
        <v>200</v>
      </c>
      <c r="F8" s="5">
        <v>100</v>
      </c>
    </row>
    <row r="9" spans="1:6" x14ac:dyDescent="0.25">
      <c r="A9" s="2" t="s">
        <v>88</v>
      </c>
      <c r="B9" s="7" t="s">
        <v>89</v>
      </c>
      <c r="C9" s="4">
        <v>3500</v>
      </c>
      <c r="D9" s="5">
        <v>300</v>
      </c>
      <c r="E9" s="5">
        <v>230</v>
      </c>
      <c r="F9" s="5">
        <v>200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8"/>
  <sheetViews>
    <sheetView topLeftCell="C1" workbookViewId="0">
      <pane ySplit="2" topLeftCell="A9" activePane="bottomLeft" state="frozen"/>
      <selection pane="bottomLeft" activeCell="I8" sqref="I8"/>
    </sheetView>
  </sheetViews>
  <sheetFormatPr defaultRowHeight="15" x14ac:dyDescent="0.25"/>
  <cols>
    <col min="1" max="1" width="22" customWidth="1"/>
    <col min="2" max="2" width="16" customWidth="1"/>
    <col min="5" max="5" width="22" customWidth="1"/>
    <col min="6" max="6" width="16" customWidth="1"/>
    <col min="9" max="9" width="22" customWidth="1"/>
    <col min="10" max="10" width="16" customWidth="1"/>
    <col min="13" max="13" width="22" customWidth="1"/>
    <col min="14" max="14" width="16" customWidth="1"/>
    <col min="17" max="17" width="22" customWidth="1"/>
    <col min="18" max="18" width="16" customWidth="1"/>
    <col min="21" max="21" width="22" customWidth="1"/>
    <col min="22" max="22" width="16" customWidth="1"/>
  </cols>
  <sheetData>
    <row r="1" spans="1:22" x14ac:dyDescent="0.25">
      <c r="A1" s="9" t="s">
        <v>90</v>
      </c>
      <c r="E1" s="9" t="s">
        <v>91</v>
      </c>
      <c r="I1" s="9" t="s">
        <v>92</v>
      </c>
      <c r="M1" s="9" t="s">
        <v>93</v>
      </c>
      <c r="Q1" s="9" t="s">
        <v>94</v>
      </c>
      <c r="U1" s="9" t="s">
        <v>95</v>
      </c>
    </row>
    <row r="2" spans="1:22" x14ac:dyDescent="0.25">
      <c r="A2" s="1" t="s">
        <v>96</v>
      </c>
      <c r="B2" s="1" t="s">
        <v>1</v>
      </c>
      <c r="E2" s="1" t="s">
        <v>96</v>
      </c>
      <c r="F2" s="1" t="s">
        <v>2</v>
      </c>
      <c r="I2" s="1" t="s">
        <v>96</v>
      </c>
      <c r="J2" s="1" t="s">
        <v>3</v>
      </c>
      <c r="M2" s="1" t="s">
        <v>96</v>
      </c>
      <c r="N2" s="1" t="s">
        <v>4</v>
      </c>
      <c r="Q2" s="1" t="s">
        <v>96</v>
      </c>
      <c r="R2" s="1" t="s">
        <v>5</v>
      </c>
      <c r="U2" s="1" t="s">
        <v>96</v>
      </c>
    </row>
    <row r="3" spans="1:22" ht="30" x14ac:dyDescent="0.25">
      <c r="A3" s="7" t="s">
        <v>58</v>
      </c>
      <c r="B3" s="3">
        <v>1800</v>
      </c>
      <c r="E3" s="7" t="s">
        <v>30</v>
      </c>
      <c r="F3" s="4">
        <v>850</v>
      </c>
      <c r="I3" s="7" t="s">
        <v>64</v>
      </c>
      <c r="J3" s="5">
        <v>85</v>
      </c>
      <c r="M3" s="7" t="s">
        <v>30</v>
      </c>
      <c r="N3" s="5">
        <v>48</v>
      </c>
      <c r="Q3" s="7" t="s">
        <v>10</v>
      </c>
      <c r="R3" s="5">
        <v>42</v>
      </c>
      <c r="U3" s="7" t="s">
        <v>8</v>
      </c>
      <c r="V3" s="1" t="s">
        <v>6</v>
      </c>
    </row>
    <row r="4" spans="1:22" ht="30" x14ac:dyDescent="0.25">
      <c r="A4" s="7" t="s">
        <v>18</v>
      </c>
      <c r="B4" s="3">
        <v>1700</v>
      </c>
      <c r="E4" s="7" t="s">
        <v>54</v>
      </c>
      <c r="F4" s="4">
        <v>820</v>
      </c>
      <c r="I4" s="7" t="s">
        <v>54</v>
      </c>
      <c r="J4" s="5">
        <v>78</v>
      </c>
      <c r="M4" s="7" t="s">
        <v>22</v>
      </c>
      <c r="N4" s="5">
        <v>45</v>
      </c>
      <c r="Q4" s="7" t="s">
        <v>36</v>
      </c>
      <c r="R4" s="5">
        <v>38</v>
      </c>
      <c r="U4" s="7" t="s">
        <v>10</v>
      </c>
      <c r="V4" s="6">
        <v>4</v>
      </c>
    </row>
    <row r="5" spans="1:22" ht="30" x14ac:dyDescent="0.25">
      <c r="A5" s="7" t="s">
        <v>16</v>
      </c>
      <c r="B5" s="3">
        <v>1500</v>
      </c>
      <c r="E5" s="7" t="s">
        <v>16</v>
      </c>
      <c r="F5" s="4">
        <v>720</v>
      </c>
      <c r="I5" s="7" t="s">
        <v>30</v>
      </c>
      <c r="J5" s="5">
        <v>75</v>
      </c>
      <c r="M5" s="7" t="s">
        <v>38</v>
      </c>
      <c r="N5" s="5">
        <v>42</v>
      </c>
      <c r="Q5" s="7" t="s">
        <v>16</v>
      </c>
      <c r="R5" s="5">
        <v>38</v>
      </c>
      <c r="U5" s="7" t="s">
        <v>64</v>
      </c>
      <c r="V5" s="6">
        <v>4</v>
      </c>
    </row>
    <row r="6" spans="1:22" x14ac:dyDescent="0.25">
      <c r="A6" s="7" t="s">
        <v>54</v>
      </c>
      <c r="B6" s="3">
        <v>1300</v>
      </c>
      <c r="E6" s="7" t="s">
        <v>38</v>
      </c>
      <c r="F6" s="4">
        <v>710</v>
      </c>
      <c r="I6" s="7" t="s">
        <v>20</v>
      </c>
      <c r="J6" s="5">
        <v>72</v>
      </c>
      <c r="M6" s="7" t="s">
        <v>54</v>
      </c>
      <c r="N6" s="5">
        <v>38</v>
      </c>
      <c r="Q6" s="7" t="s">
        <v>54</v>
      </c>
      <c r="R6" s="5">
        <v>36</v>
      </c>
      <c r="U6" s="7" t="s">
        <v>62</v>
      </c>
      <c r="V6" s="6">
        <v>4</v>
      </c>
    </row>
    <row r="7" spans="1:22" ht="30" x14ac:dyDescent="0.25">
      <c r="A7" s="7" t="s">
        <v>34</v>
      </c>
      <c r="B7" s="3">
        <v>1300</v>
      </c>
      <c r="E7" s="7" t="s">
        <v>22</v>
      </c>
      <c r="F7" s="4">
        <v>680</v>
      </c>
      <c r="I7" s="7" t="s">
        <v>66</v>
      </c>
      <c r="J7" s="5">
        <v>68</v>
      </c>
      <c r="M7" s="7" t="s">
        <v>52</v>
      </c>
      <c r="N7" s="5">
        <v>38</v>
      </c>
      <c r="Q7" s="7" t="s">
        <v>42</v>
      </c>
      <c r="R7" s="5">
        <v>34</v>
      </c>
      <c r="U7" s="7" t="s">
        <v>60</v>
      </c>
      <c r="V7" s="6">
        <v>4</v>
      </c>
    </row>
    <row r="8" spans="1:22" ht="30" x14ac:dyDescent="0.25">
      <c r="A8" s="7" t="s">
        <v>36</v>
      </c>
      <c r="B8" s="3">
        <v>1200</v>
      </c>
      <c r="E8" s="7" t="s">
        <v>34</v>
      </c>
      <c r="F8" s="4">
        <v>640</v>
      </c>
      <c r="I8" s="7" t="s">
        <v>48</v>
      </c>
      <c r="J8" s="5">
        <v>68</v>
      </c>
      <c r="M8" s="7" t="s">
        <v>16</v>
      </c>
      <c r="N8" s="5">
        <v>35</v>
      </c>
      <c r="Q8" s="7" t="s">
        <v>38</v>
      </c>
      <c r="R8" s="5">
        <v>32</v>
      </c>
      <c r="U8" s="7" t="s">
        <v>58</v>
      </c>
      <c r="V8" s="6">
        <v>4</v>
      </c>
    </row>
    <row r="9" spans="1:22" ht="30" x14ac:dyDescent="0.25">
      <c r="A9" s="7" t="s">
        <v>38</v>
      </c>
      <c r="B9" s="3">
        <v>1100</v>
      </c>
      <c r="E9" s="7" t="s">
        <v>28</v>
      </c>
      <c r="F9" s="4">
        <v>620</v>
      </c>
      <c r="I9" s="7" t="s">
        <v>8</v>
      </c>
      <c r="J9" s="5">
        <v>65</v>
      </c>
      <c r="M9" s="7" t="s">
        <v>34</v>
      </c>
      <c r="N9" s="5">
        <v>34</v>
      </c>
      <c r="Q9" s="7" t="s">
        <v>58</v>
      </c>
      <c r="R9" s="5">
        <v>32</v>
      </c>
      <c r="U9" s="7" t="s">
        <v>56</v>
      </c>
      <c r="V9" s="6">
        <v>4</v>
      </c>
    </row>
    <row r="10" spans="1:22" ht="30" x14ac:dyDescent="0.25">
      <c r="A10" s="7" t="s">
        <v>10</v>
      </c>
      <c r="B10" s="3">
        <v>1100</v>
      </c>
      <c r="E10" s="7" t="s">
        <v>64</v>
      </c>
      <c r="F10" s="4">
        <v>590</v>
      </c>
      <c r="I10" s="7" t="s">
        <v>34</v>
      </c>
      <c r="J10" s="5">
        <v>62</v>
      </c>
      <c r="M10" s="7" t="s">
        <v>28</v>
      </c>
      <c r="N10" s="5">
        <v>32</v>
      </c>
      <c r="Q10" s="7" t="s">
        <v>18</v>
      </c>
      <c r="R10" s="5">
        <v>32</v>
      </c>
      <c r="U10" s="7" t="s">
        <v>54</v>
      </c>
      <c r="V10" s="6">
        <v>4</v>
      </c>
    </row>
    <row r="11" spans="1:22" ht="30" x14ac:dyDescent="0.25">
      <c r="A11" s="7" t="s">
        <v>48</v>
      </c>
      <c r="B11" s="3">
        <v>1100</v>
      </c>
      <c r="E11" s="7" t="s">
        <v>8</v>
      </c>
      <c r="F11" s="4">
        <v>580</v>
      </c>
      <c r="I11" s="7" t="s">
        <v>16</v>
      </c>
      <c r="J11" s="5">
        <v>60</v>
      </c>
      <c r="M11" s="7" t="s">
        <v>44</v>
      </c>
      <c r="N11" s="5">
        <v>32</v>
      </c>
      <c r="Q11" s="7" t="s">
        <v>62</v>
      </c>
      <c r="R11" s="5">
        <v>28</v>
      </c>
      <c r="U11" s="7" t="s">
        <v>52</v>
      </c>
      <c r="V11" s="6">
        <v>4</v>
      </c>
    </row>
    <row r="12" spans="1:22" ht="30" x14ac:dyDescent="0.25">
      <c r="A12" s="7" t="s">
        <v>42</v>
      </c>
      <c r="B12" s="3">
        <v>1050</v>
      </c>
      <c r="E12" s="7" t="s">
        <v>20</v>
      </c>
      <c r="F12" s="4">
        <v>550</v>
      </c>
      <c r="I12" s="7" t="s">
        <v>28</v>
      </c>
      <c r="J12" s="5">
        <v>58</v>
      </c>
      <c r="M12" s="7" t="s">
        <v>58</v>
      </c>
      <c r="N12" s="5">
        <v>28</v>
      </c>
      <c r="Q12" s="7" t="s">
        <v>52</v>
      </c>
      <c r="R12" s="5">
        <v>28</v>
      </c>
      <c r="U12" s="7" t="s">
        <v>50</v>
      </c>
      <c r="V12" s="6">
        <v>4</v>
      </c>
    </row>
    <row r="13" spans="1:22" ht="30" x14ac:dyDescent="0.25">
      <c r="A13" s="7" t="s">
        <v>30</v>
      </c>
      <c r="B13" s="3">
        <v>1050</v>
      </c>
      <c r="E13" s="7" t="s">
        <v>52</v>
      </c>
      <c r="F13" s="4">
        <v>540</v>
      </c>
      <c r="I13" s="7" t="s">
        <v>62</v>
      </c>
      <c r="J13" s="5">
        <v>55</v>
      </c>
      <c r="M13" s="7" t="s">
        <v>26</v>
      </c>
      <c r="N13" s="5">
        <v>25</v>
      </c>
      <c r="Q13" s="7" t="s">
        <v>48</v>
      </c>
      <c r="R13" s="5">
        <v>28</v>
      </c>
      <c r="U13" s="7" t="s">
        <v>48</v>
      </c>
      <c r="V13" s="6">
        <v>4</v>
      </c>
    </row>
    <row r="14" spans="1:22" ht="30" x14ac:dyDescent="0.25">
      <c r="A14" s="7" t="s">
        <v>52</v>
      </c>
      <c r="B14" s="3">
        <v>950</v>
      </c>
      <c r="E14" s="7" t="s">
        <v>48</v>
      </c>
      <c r="F14" s="4">
        <v>530</v>
      </c>
      <c r="I14" s="7" t="s">
        <v>38</v>
      </c>
      <c r="J14" s="5">
        <v>48</v>
      </c>
      <c r="M14" s="7" t="s">
        <v>42</v>
      </c>
      <c r="N14" s="5">
        <v>25</v>
      </c>
      <c r="Q14" s="7" t="s">
        <v>8</v>
      </c>
      <c r="R14" s="5">
        <v>28</v>
      </c>
      <c r="U14" s="7" t="s">
        <v>46</v>
      </c>
      <c r="V14" s="6">
        <v>4</v>
      </c>
    </row>
    <row r="15" spans="1:22" ht="30" x14ac:dyDescent="0.25">
      <c r="A15" s="7" t="s">
        <v>44</v>
      </c>
      <c r="B15" s="3">
        <v>900</v>
      </c>
      <c r="E15" s="7" t="s">
        <v>12</v>
      </c>
      <c r="F15" s="4">
        <v>520</v>
      </c>
      <c r="I15" s="7" t="s">
        <v>12</v>
      </c>
      <c r="J15" s="5">
        <v>48</v>
      </c>
      <c r="M15" s="7" t="s">
        <v>12</v>
      </c>
      <c r="N15" s="5">
        <v>24</v>
      </c>
      <c r="Q15" s="7" t="s">
        <v>30</v>
      </c>
      <c r="R15" s="5">
        <v>28</v>
      </c>
      <c r="U15" s="7" t="s">
        <v>44</v>
      </c>
      <c r="V15" s="6">
        <v>4</v>
      </c>
    </row>
    <row r="16" spans="1:22" ht="30" x14ac:dyDescent="0.25">
      <c r="A16" s="7" t="s">
        <v>40</v>
      </c>
      <c r="B16" s="3">
        <v>900</v>
      </c>
      <c r="E16" s="7" t="s">
        <v>62</v>
      </c>
      <c r="F16" s="4">
        <v>520</v>
      </c>
      <c r="I16" s="7" t="s">
        <v>32</v>
      </c>
      <c r="J16" s="5">
        <v>45</v>
      </c>
      <c r="M16" s="7" t="s">
        <v>40</v>
      </c>
      <c r="N16" s="5">
        <v>22</v>
      </c>
      <c r="Q16" s="7" t="s">
        <v>22</v>
      </c>
      <c r="R16" s="5">
        <v>28</v>
      </c>
      <c r="U16" s="7" t="s">
        <v>42</v>
      </c>
      <c r="V16" s="6">
        <v>4</v>
      </c>
    </row>
    <row r="17" spans="1:22" ht="30" x14ac:dyDescent="0.25">
      <c r="A17" s="7" t="s">
        <v>56</v>
      </c>
      <c r="B17" s="3">
        <v>800</v>
      </c>
      <c r="E17" s="7" t="s">
        <v>36</v>
      </c>
      <c r="F17" s="4">
        <v>510</v>
      </c>
      <c r="I17" s="7" t="s">
        <v>10</v>
      </c>
      <c r="J17" s="5">
        <v>45</v>
      </c>
      <c r="M17" s="7" t="s">
        <v>60</v>
      </c>
      <c r="N17" s="5">
        <v>22</v>
      </c>
      <c r="Q17" s="7" t="s">
        <v>44</v>
      </c>
      <c r="R17" s="5">
        <v>26</v>
      </c>
      <c r="U17" s="7" t="s">
        <v>40</v>
      </c>
      <c r="V17" s="6">
        <v>4</v>
      </c>
    </row>
    <row r="18" spans="1:22" x14ac:dyDescent="0.25">
      <c r="V18" s="6">
        <v>4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8"/>
  <sheetViews>
    <sheetView workbookViewId="0">
      <pane ySplit="3" topLeftCell="A4" activePane="bottomLeft" state="frozen"/>
      <selection pane="bottomLeft" sqref="A1:H8"/>
    </sheetView>
  </sheetViews>
  <sheetFormatPr defaultRowHeight="15" x14ac:dyDescent="0.25"/>
  <cols>
    <col min="1" max="1" width="12" customWidth="1"/>
    <col min="2" max="2" width="34" customWidth="1"/>
    <col min="3" max="8" width="16" customWidth="1"/>
  </cols>
  <sheetData>
    <row r="1" spans="1:8" x14ac:dyDescent="0.25">
      <c r="A1" s="1" t="s">
        <v>97</v>
      </c>
      <c r="B1" s="1" t="s">
        <v>96</v>
      </c>
      <c r="C1" s="1" t="s">
        <v>1</v>
      </c>
      <c r="D1" s="1" t="s">
        <v>98</v>
      </c>
      <c r="E1" s="1" t="s">
        <v>99</v>
      </c>
      <c r="F1" s="1" t="s">
        <v>100</v>
      </c>
      <c r="G1" s="1" t="s">
        <v>101</v>
      </c>
      <c r="H1" s="1" t="s">
        <v>102</v>
      </c>
    </row>
    <row r="2" spans="1:8" x14ac:dyDescent="0.25">
      <c r="A2" s="10" t="s">
        <v>103</v>
      </c>
      <c r="B2" s="11" t="s">
        <v>18</v>
      </c>
      <c r="C2" s="12">
        <f>VLOOKUP($B2,Etelek!$A$2:$G$100,2,FALSE)</f>
        <v>1700</v>
      </c>
      <c r="D2" s="13">
        <f>VLOOKUP($B2,Etelek!$A$2:$G$100,3,FALSE)</f>
        <v>380</v>
      </c>
      <c r="E2" s="14">
        <f ca="1">IFERROR(XLOOKUP($B2,tblEtelek[Név],tblEtelek[Szénhidrát (g)]),VLOOKUP($B2,tblEtelek[],4,FALSE))</f>
        <v>12</v>
      </c>
      <c r="F2" s="14">
        <f>VLOOKUP($B2,Etelek!$A$2:$G$100,5,FALSE)</f>
        <v>22</v>
      </c>
      <c r="G2" s="14">
        <f>VLOOKUP($B2,Etelek!$A$2:$G$100,6,FALSE)</f>
        <v>32</v>
      </c>
      <c r="H2" s="15">
        <f>VLOOKUP($B2,Etelek!$A$2:$G$100,7,FALSE)</f>
        <v>4</v>
      </c>
    </row>
    <row r="3" spans="1:8" x14ac:dyDescent="0.25">
      <c r="A3" s="10" t="s">
        <v>104</v>
      </c>
      <c r="B3" s="11" t="s">
        <v>22</v>
      </c>
      <c r="C3" s="12">
        <f>VLOOKUP($B3,Etelek!$A$2:$G$100,2,FALSE)</f>
        <v>800</v>
      </c>
      <c r="D3" s="13">
        <f>VLOOKUP($B3,Etelek!$A$2:$G$100,3,FALSE)</f>
        <v>680</v>
      </c>
      <c r="E3" s="14">
        <f ca="1">IFERROR(XLOOKUP($B3,tblEtelek[Név],tblEtelek[Szénhidrát (g)]),VLOOKUP($B3,tblEtelek[],4,FALSE))</f>
        <v>42</v>
      </c>
      <c r="F3" s="14">
        <f>VLOOKUP($B3,Etelek!$A$2:$G$100,5,FALSE)</f>
        <v>45</v>
      </c>
      <c r="G3" s="14">
        <f>VLOOKUP($B3,Etelek!$A$2:$G$100,6,FALSE)</f>
        <v>28</v>
      </c>
      <c r="H3" s="15">
        <f>VLOOKUP($B3,Etelek!$A$2:$G$100,7,FALSE)</f>
        <v>4</v>
      </c>
    </row>
    <row r="4" spans="1:8" x14ac:dyDescent="0.25">
      <c r="A4" s="10" t="s">
        <v>105</v>
      </c>
      <c r="B4" s="11" t="s">
        <v>30</v>
      </c>
      <c r="C4" s="12">
        <f>VLOOKUP($B4,Etelek!$A$2:$G$100,2,FALSE)</f>
        <v>1050</v>
      </c>
      <c r="D4" s="13">
        <f>VLOOKUP($B4,Etelek!$A$2:$G$100,3,FALSE)</f>
        <v>850</v>
      </c>
      <c r="E4" s="14">
        <f ca="1">IFERROR(XLOOKUP($B4,tblEtelek[Név],tblEtelek[Szénhidrát (g)]),VLOOKUP($B4,tblEtelek[],4,FALSE))</f>
        <v>75</v>
      </c>
      <c r="F4" s="14">
        <f>VLOOKUP($B4,Etelek!$A$2:$G$100,5,FALSE)</f>
        <v>48</v>
      </c>
      <c r="G4" s="14">
        <f>VLOOKUP($B4,Etelek!$A$2:$G$100,6,FALSE)</f>
        <v>28</v>
      </c>
      <c r="H4" s="15">
        <f>VLOOKUP($B4,Etelek!$A$2:$G$100,7,FALSE)</f>
        <v>4</v>
      </c>
    </row>
    <row r="5" spans="1:8" x14ac:dyDescent="0.25">
      <c r="A5" s="10" t="s">
        <v>106</v>
      </c>
      <c r="B5" s="11" t="s">
        <v>24</v>
      </c>
      <c r="C5" s="12">
        <f>VLOOKUP($B5,Etelek!$A$2:$G$100,2,FALSE)</f>
        <v>450</v>
      </c>
      <c r="D5" s="13">
        <f>VLOOKUP($B5,Etelek!$A$2:$G$100,3,FALSE)</f>
        <v>180</v>
      </c>
      <c r="E5" s="14">
        <f ca="1">IFERROR(XLOOKUP($B5,tblEtelek[Név],tblEtelek[Szénhidrát (g)]),VLOOKUP($B5,tblEtelek[],4,FALSE))</f>
        <v>25</v>
      </c>
      <c r="F5" s="14">
        <f>VLOOKUP($B5,Etelek!$A$2:$G$100,5,FALSE)</f>
        <v>6</v>
      </c>
      <c r="G5" s="14">
        <f>VLOOKUP($B5,Etelek!$A$2:$G$100,6,FALSE)</f>
        <v>5</v>
      </c>
      <c r="H5" s="15">
        <f>VLOOKUP($B5,Etelek!$A$2:$G$100,7,FALSE)</f>
        <v>4</v>
      </c>
    </row>
    <row r="6" spans="1:8" x14ac:dyDescent="0.25">
      <c r="A6" s="10" t="s">
        <v>107</v>
      </c>
      <c r="B6" s="11" t="s">
        <v>40</v>
      </c>
      <c r="C6" s="12">
        <f>VLOOKUP($B6,Etelek!$A$2:$G$100,2,FALSE)</f>
        <v>900</v>
      </c>
      <c r="D6" s="13">
        <f>VLOOKUP($B6,Etelek!$A$2:$G$100,3,FALSE)</f>
        <v>280</v>
      </c>
      <c r="E6" s="14">
        <f ca="1">IFERROR(XLOOKUP($B6,tblEtelek[Név],tblEtelek[Szénhidrát (g)]),VLOOKUP($B6,tblEtelek[],4,FALSE))</f>
        <v>10</v>
      </c>
      <c r="F6" s="14">
        <f>VLOOKUP($B6,Etelek!$A$2:$G$100,5,FALSE)</f>
        <v>22</v>
      </c>
      <c r="G6" s="14">
        <f>VLOOKUP($B6,Etelek!$A$2:$G$100,6,FALSE)</f>
        <v>8</v>
      </c>
      <c r="H6" s="15">
        <f>VLOOKUP($B6,Etelek!$A$2:$G$100,7,FALSE)</f>
        <v>4</v>
      </c>
    </row>
    <row r="7" spans="1:8" x14ac:dyDescent="0.25">
      <c r="C7" s="16"/>
      <c r="D7" s="17"/>
      <c r="E7" s="18"/>
      <c r="F7" s="18"/>
      <c r="G7" s="18"/>
      <c r="H7" s="19"/>
    </row>
    <row r="8" spans="1:8" x14ac:dyDescent="0.25">
      <c r="A8" s="20" t="s">
        <v>108</v>
      </c>
      <c r="B8" s="10"/>
      <c r="C8" s="21">
        <f t="shared" ref="C8:H8" si="0">SUM(C2:C6)</f>
        <v>4900</v>
      </c>
      <c r="D8" s="22">
        <f t="shared" si="0"/>
        <v>2370</v>
      </c>
      <c r="E8" s="23">
        <f t="shared" ca="1" si="0"/>
        <v>164</v>
      </c>
      <c r="F8" s="23">
        <f t="shared" si="0"/>
        <v>143</v>
      </c>
      <c r="G8" s="23">
        <f t="shared" si="0"/>
        <v>101</v>
      </c>
      <c r="H8" s="24">
        <f t="shared" si="0"/>
        <v>20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E18EC0C-3EB1-4D49-9A3B-269B13026224}">
          <x14:formula1>
            <xm:f>Etelek!$A$2:$A$31</xm:f>
          </x14:formula1>
          <xm:sqref>B2:B6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1"/>
  <sheetViews>
    <sheetView topLeftCell="B1" workbookViewId="0">
      <pane ySplit="3" topLeftCell="A4" activePane="bottomLeft" state="frozen"/>
      <selection pane="bottomLeft" activeCell="B21" sqref="B21"/>
    </sheetView>
  </sheetViews>
  <sheetFormatPr defaultRowHeight="15" x14ac:dyDescent="0.25"/>
  <cols>
    <col min="1" max="1" width="30" customWidth="1"/>
    <col min="2" max="2" width="70" customWidth="1"/>
    <col min="3" max="12" width="18" customWidth="1"/>
  </cols>
  <sheetData>
    <row r="1" spans="1:12" ht="17.25" x14ac:dyDescent="0.3">
      <c r="A1" s="8" t="s">
        <v>109</v>
      </c>
      <c r="B1" s="1" t="s">
        <v>116</v>
      </c>
      <c r="C1" s="1" t="s">
        <v>98</v>
      </c>
      <c r="D1" s="1" t="s">
        <v>99</v>
      </c>
      <c r="E1" s="1" t="s">
        <v>100</v>
      </c>
      <c r="F1" s="1" t="s">
        <v>101</v>
      </c>
      <c r="G1" s="1" t="s">
        <v>117</v>
      </c>
      <c r="H1" s="1"/>
      <c r="I1" s="1"/>
      <c r="J1" s="1"/>
      <c r="K1" s="1"/>
      <c r="L1" s="1"/>
    </row>
    <row r="2" spans="1:12" x14ac:dyDescent="0.25">
      <c r="B2" s="7" t="s">
        <v>75</v>
      </c>
      <c r="C2" s="4">
        <v>1300</v>
      </c>
      <c r="D2" s="5">
        <v>70</v>
      </c>
      <c r="E2" s="5">
        <v>35</v>
      </c>
      <c r="F2" s="5">
        <v>200</v>
      </c>
      <c r="G2" s="4">
        <f>Menu!D8</f>
        <v>2370</v>
      </c>
      <c r="H2" s="5">
        <f ca="1">Menu!E8</f>
        <v>164</v>
      </c>
      <c r="I2" s="5">
        <f>Menu!F8</f>
        <v>143</v>
      </c>
      <c r="J2" s="5">
        <f>Menu!G8</f>
        <v>101</v>
      </c>
      <c r="K2" s="2" t="str">
        <f t="shared" ref="K2:K9" ca="1" si="0">IF(AND(G2&lt;=C2,H2&lt;=D2,I2&lt;=E2,J2&lt;=F2),"IGEN","NEM")</f>
        <v>NEM</v>
      </c>
      <c r="L2" s="2">
        <f t="shared" ref="L2:L9" ca="1" si="1">MAX(0,G2-C2)+MAX(0,H2-D2)+MAX(0,I2-E2)+MAX(0,J2-F2)</f>
        <v>1272</v>
      </c>
    </row>
    <row r="3" spans="1:12" x14ac:dyDescent="0.25">
      <c r="A3" s="1" t="s">
        <v>115</v>
      </c>
      <c r="B3" s="7" t="s">
        <v>77</v>
      </c>
      <c r="C3" s="4">
        <v>4000</v>
      </c>
      <c r="D3" s="5">
        <v>350</v>
      </c>
      <c r="E3" s="5">
        <v>270</v>
      </c>
      <c r="F3" s="5">
        <v>300</v>
      </c>
      <c r="G3" s="4">
        <f>Menu!D8</f>
        <v>2370</v>
      </c>
      <c r="H3" s="5">
        <f ca="1">Menu!E8</f>
        <v>164</v>
      </c>
      <c r="I3" s="5">
        <f>Menu!F8</f>
        <v>143</v>
      </c>
      <c r="J3" s="5">
        <f>Menu!G8</f>
        <v>101</v>
      </c>
      <c r="K3" s="2" t="str">
        <f t="shared" ca="1" si="0"/>
        <v>IGEN</v>
      </c>
      <c r="L3" s="2">
        <f t="shared" ca="1" si="1"/>
        <v>0</v>
      </c>
    </row>
    <row r="4" spans="1:12" x14ac:dyDescent="0.25">
      <c r="A4" s="2" t="s">
        <v>74</v>
      </c>
      <c r="B4" s="7" t="s">
        <v>79</v>
      </c>
      <c r="C4" s="4">
        <v>2100</v>
      </c>
      <c r="D4" s="5">
        <v>50</v>
      </c>
      <c r="E4" s="5">
        <v>200</v>
      </c>
      <c r="F4" s="5">
        <v>180</v>
      </c>
      <c r="G4" s="4">
        <f>Menu!D8</f>
        <v>2370</v>
      </c>
      <c r="H4" s="5">
        <f ca="1">Menu!E8</f>
        <v>164</v>
      </c>
      <c r="I4" s="5">
        <f>Menu!F8</f>
        <v>143</v>
      </c>
      <c r="J4" s="5">
        <f>Menu!G8</f>
        <v>101</v>
      </c>
      <c r="K4" s="2" t="str">
        <f t="shared" ca="1" si="0"/>
        <v>NEM</v>
      </c>
      <c r="L4" s="2">
        <f t="shared" ca="1" si="1"/>
        <v>384</v>
      </c>
    </row>
    <row r="5" spans="1:12" x14ac:dyDescent="0.25">
      <c r="A5" s="2" t="s">
        <v>76</v>
      </c>
      <c r="B5" s="7" t="s">
        <v>81</v>
      </c>
      <c r="C5" s="4">
        <v>1600</v>
      </c>
      <c r="D5" s="5">
        <v>250</v>
      </c>
      <c r="E5" s="5">
        <v>160</v>
      </c>
      <c r="F5" s="5">
        <v>150</v>
      </c>
      <c r="G5" s="4">
        <f>Menu!D8</f>
        <v>2370</v>
      </c>
      <c r="H5" s="5">
        <f ca="1">Menu!E8</f>
        <v>164</v>
      </c>
      <c r="I5" s="5">
        <f>Menu!F8</f>
        <v>143</v>
      </c>
      <c r="J5" s="5">
        <f>Menu!G8</f>
        <v>101</v>
      </c>
      <c r="K5" s="2" t="str">
        <f t="shared" ca="1" si="0"/>
        <v>NEM</v>
      </c>
      <c r="L5" s="2">
        <f t="shared" ca="1" si="1"/>
        <v>770</v>
      </c>
    </row>
    <row r="6" spans="1:12" x14ac:dyDescent="0.25">
      <c r="A6" s="2" t="s">
        <v>78</v>
      </c>
      <c r="B6" s="7" t="s">
        <v>83</v>
      </c>
      <c r="C6" s="4">
        <v>2100</v>
      </c>
      <c r="D6" s="5">
        <v>70</v>
      </c>
      <c r="E6" s="5">
        <v>180</v>
      </c>
      <c r="F6" s="5">
        <v>200</v>
      </c>
      <c r="G6" s="4">
        <f>Menu!D8</f>
        <v>2370</v>
      </c>
      <c r="H6" s="5">
        <f ca="1">Menu!E8</f>
        <v>164</v>
      </c>
      <c r="I6" s="5">
        <f>Menu!F8</f>
        <v>143</v>
      </c>
      <c r="J6" s="5">
        <f>Menu!G8</f>
        <v>101</v>
      </c>
      <c r="K6" s="2" t="str">
        <f t="shared" ca="1" si="0"/>
        <v>NEM</v>
      </c>
      <c r="L6" s="2">
        <f t="shared" ca="1" si="1"/>
        <v>364</v>
      </c>
    </row>
    <row r="7" spans="1:12" x14ac:dyDescent="0.25">
      <c r="A7" s="2" t="s">
        <v>80</v>
      </c>
      <c r="B7" s="7" t="s">
        <v>85</v>
      </c>
      <c r="C7" s="4">
        <v>2000</v>
      </c>
      <c r="D7" s="5">
        <v>200</v>
      </c>
      <c r="E7" s="5">
        <v>150</v>
      </c>
      <c r="F7" s="5">
        <v>180</v>
      </c>
      <c r="G7" s="4">
        <f>Menu!D8</f>
        <v>2370</v>
      </c>
      <c r="H7" s="5">
        <f ca="1">Menu!E8</f>
        <v>164</v>
      </c>
      <c r="I7" s="5">
        <f>Menu!F8</f>
        <v>143</v>
      </c>
      <c r="J7" s="5">
        <f>Menu!G8</f>
        <v>101</v>
      </c>
      <c r="K7" s="2" t="str">
        <f t="shared" ca="1" si="0"/>
        <v>NEM</v>
      </c>
      <c r="L7" s="2">
        <f t="shared" ca="1" si="1"/>
        <v>370</v>
      </c>
    </row>
    <row r="8" spans="1:12" x14ac:dyDescent="0.25">
      <c r="A8" s="2" t="s">
        <v>82</v>
      </c>
      <c r="B8" s="7" t="s">
        <v>87</v>
      </c>
      <c r="C8" s="4">
        <v>1500</v>
      </c>
      <c r="D8" s="5">
        <v>100</v>
      </c>
      <c r="E8" s="5">
        <v>200</v>
      </c>
      <c r="F8" s="5">
        <v>100</v>
      </c>
      <c r="G8" s="4">
        <f>Menu!D8</f>
        <v>2370</v>
      </c>
      <c r="H8" s="5">
        <f ca="1">Menu!E8</f>
        <v>164</v>
      </c>
      <c r="I8" s="5">
        <f>Menu!F8</f>
        <v>143</v>
      </c>
      <c r="J8" s="5">
        <f>Menu!G8</f>
        <v>101</v>
      </c>
      <c r="K8" s="2" t="str">
        <f t="shared" ca="1" si="0"/>
        <v>NEM</v>
      </c>
      <c r="L8" s="2">
        <f t="shared" ca="1" si="1"/>
        <v>935</v>
      </c>
    </row>
    <row r="9" spans="1:12" x14ac:dyDescent="0.25">
      <c r="A9" s="2" t="s">
        <v>84</v>
      </c>
      <c r="B9" s="7" t="s">
        <v>89</v>
      </c>
      <c r="C9" s="4">
        <v>3500</v>
      </c>
      <c r="D9" s="5">
        <v>300</v>
      </c>
      <c r="E9" s="5">
        <v>230</v>
      </c>
      <c r="F9" s="5">
        <v>200</v>
      </c>
      <c r="G9" s="4">
        <f>Menu!D8</f>
        <v>2370</v>
      </c>
      <c r="H9" s="5">
        <f ca="1">Menu!E8</f>
        <v>164</v>
      </c>
      <c r="I9" s="5">
        <f>Menu!F8</f>
        <v>143</v>
      </c>
      <c r="J9" s="5">
        <f>Menu!G8</f>
        <v>101</v>
      </c>
      <c r="K9" s="2" t="str">
        <f t="shared" ca="1" si="0"/>
        <v>IGEN</v>
      </c>
      <c r="L9" s="2">
        <f t="shared" ca="1" si="1"/>
        <v>0</v>
      </c>
    </row>
    <row r="10" spans="1:12" x14ac:dyDescent="0.25">
      <c r="A10" s="2" t="s">
        <v>86</v>
      </c>
    </row>
    <row r="11" spans="1:12" x14ac:dyDescent="0.25">
      <c r="A11" s="2" t="s">
        <v>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6"/>
  <sheetViews>
    <sheetView workbookViewId="0">
      <pane ySplit="3" topLeftCell="A4" activePane="bottomLeft" state="frozen"/>
      <selection pane="bottomLeft" activeCell="F27" sqref="F27"/>
    </sheetView>
  </sheetViews>
  <sheetFormatPr defaultRowHeight="15" x14ac:dyDescent="0.25"/>
  <cols>
    <col min="1" max="1" width="12" customWidth="1"/>
    <col min="2" max="2" width="34" customWidth="1"/>
    <col min="3" max="8" width="16" customWidth="1"/>
  </cols>
  <sheetData>
    <row r="1" spans="1:8" x14ac:dyDescent="0.25">
      <c r="A1" s="1" t="s">
        <v>97</v>
      </c>
      <c r="B1" s="1" t="s">
        <v>96</v>
      </c>
      <c r="C1" s="1" t="s">
        <v>110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111</v>
      </c>
    </row>
    <row r="2" spans="1:8" x14ac:dyDescent="0.25">
      <c r="A2" s="2" t="s">
        <v>103</v>
      </c>
      <c r="B2" s="7" t="s">
        <v>24</v>
      </c>
      <c r="C2" s="3">
        <v>450</v>
      </c>
      <c r="D2" s="4">
        <v>180</v>
      </c>
      <c r="E2" s="5">
        <v>25</v>
      </c>
      <c r="F2" s="5">
        <v>6</v>
      </c>
      <c r="G2" s="5">
        <v>5</v>
      </c>
      <c r="H2" s="6">
        <v>4</v>
      </c>
    </row>
    <row r="3" spans="1:8" x14ac:dyDescent="0.25">
      <c r="A3" s="2" t="s">
        <v>104</v>
      </c>
      <c r="B3" s="7" t="s">
        <v>50</v>
      </c>
      <c r="C3" s="3">
        <v>650</v>
      </c>
      <c r="D3" s="4">
        <v>210</v>
      </c>
      <c r="E3" s="5">
        <v>18</v>
      </c>
      <c r="F3" s="5">
        <v>8</v>
      </c>
      <c r="G3" s="5">
        <v>16</v>
      </c>
      <c r="H3" s="6">
        <v>4</v>
      </c>
    </row>
    <row r="4" spans="1:8" x14ac:dyDescent="0.25">
      <c r="A4" s="2" t="s">
        <v>105</v>
      </c>
      <c r="B4" s="7" t="s">
        <v>60</v>
      </c>
      <c r="C4" s="3">
        <v>400</v>
      </c>
      <c r="D4" s="4">
        <v>310</v>
      </c>
      <c r="E4" s="5">
        <v>15</v>
      </c>
      <c r="F4" s="5">
        <v>22</v>
      </c>
      <c r="G4" s="5">
        <v>14</v>
      </c>
      <c r="H4" s="6">
        <v>4</v>
      </c>
    </row>
    <row r="5" spans="1:8" x14ac:dyDescent="0.25">
      <c r="A5" s="2" t="s">
        <v>106</v>
      </c>
      <c r="B5" s="7" t="s">
        <v>40</v>
      </c>
      <c r="C5" s="3">
        <v>900</v>
      </c>
      <c r="D5" s="4">
        <v>280</v>
      </c>
      <c r="E5" s="5">
        <v>10</v>
      </c>
      <c r="F5" s="5">
        <v>22</v>
      </c>
      <c r="G5" s="5">
        <v>8</v>
      </c>
      <c r="H5" s="6">
        <v>4</v>
      </c>
    </row>
    <row r="6" spans="1:8" x14ac:dyDescent="0.25">
      <c r="A6" s="2" t="s">
        <v>107</v>
      </c>
      <c r="B6" s="7" t="s">
        <v>50</v>
      </c>
      <c r="C6" s="3">
        <v>650</v>
      </c>
      <c r="D6" s="4">
        <v>210</v>
      </c>
      <c r="E6" s="5">
        <v>18</v>
      </c>
      <c r="F6" s="5">
        <v>8</v>
      </c>
      <c r="G6" s="5">
        <v>16</v>
      </c>
      <c r="H6" s="6">
        <v>4</v>
      </c>
    </row>
    <row r="7" spans="1:8" x14ac:dyDescent="0.25">
      <c r="C7" s="16"/>
      <c r="D7" s="17"/>
      <c r="E7" s="18"/>
      <c r="F7" s="18"/>
      <c r="G7" s="18"/>
      <c r="H7" s="19"/>
    </row>
    <row r="8" spans="1:8" x14ac:dyDescent="0.25">
      <c r="A8" s="20" t="s">
        <v>108</v>
      </c>
      <c r="B8" s="10"/>
      <c r="C8" s="21">
        <f t="shared" ref="C8:H8" si="0">SUM(C2:C6)</f>
        <v>3050</v>
      </c>
      <c r="D8" s="22">
        <f t="shared" si="0"/>
        <v>1190</v>
      </c>
      <c r="E8" s="23">
        <f t="shared" si="0"/>
        <v>86</v>
      </c>
      <c r="F8" s="23">
        <f t="shared" si="0"/>
        <v>66</v>
      </c>
      <c r="G8" s="23">
        <f t="shared" si="0"/>
        <v>59</v>
      </c>
      <c r="H8" s="24">
        <f t="shared" si="0"/>
        <v>20</v>
      </c>
    </row>
    <row r="10" spans="1:8" x14ac:dyDescent="0.25">
      <c r="A10" s="9" t="s">
        <v>112</v>
      </c>
    </row>
    <row r="11" spans="1:8" x14ac:dyDescent="0.25">
      <c r="B11" t="s">
        <v>98</v>
      </c>
      <c r="C11" s="17">
        <v>1300</v>
      </c>
      <c r="D11" t="s">
        <v>113</v>
      </c>
      <c r="E11" s="17">
        <f>D8</f>
        <v>1190</v>
      </c>
    </row>
    <row r="12" spans="1:8" x14ac:dyDescent="0.25">
      <c r="B12" t="s">
        <v>99</v>
      </c>
      <c r="C12" s="18">
        <v>70</v>
      </c>
      <c r="D12" t="s">
        <v>113</v>
      </c>
      <c r="E12" s="18">
        <f>E8</f>
        <v>86</v>
      </c>
    </row>
    <row r="13" spans="1:8" x14ac:dyDescent="0.25">
      <c r="B13" t="s">
        <v>100</v>
      </c>
      <c r="C13" s="18">
        <v>35</v>
      </c>
      <c r="D13" t="s">
        <v>113</v>
      </c>
      <c r="E13" s="18">
        <f>F8</f>
        <v>66</v>
      </c>
    </row>
    <row r="14" spans="1:8" x14ac:dyDescent="0.25">
      <c r="B14" t="s">
        <v>101</v>
      </c>
      <c r="C14" s="18">
        <v>200</v>
      </c>
      <c r="D14" t="s">
        <v>113</v>
      </c>
      <c r="E14" s="18">
        <f>G8</f>
        <v>59</v>
      </c>
    </row>
    <row r="16" spans="1:8" x14ac:dyDescent="0.25">
      <c r="B16" t="s">
        <v>114</v>
      </c>
      <c r="C16" t="str">
        <f>IF(AND(E11&lt;=C11,E12&lt;=C12,E13&lt;=C13,E14&lt;=C14),"IGEN","NEM")</f>
        <v>NEM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6"/>
  <sheetViews>
    <sheetView workbookViewId="0">
      <pane ySplit="3" topLeftCell="A4" activePane="bottomLeft" state="frozen"/>
      <selection pane="bottomLeft" activeCell="G31" sqref="G31"/>
    </sheetView>
  </sheetViews>
  <sheetFormatPr defaultRowHeight="15" x14ac:dyDescent="0.25"/>
  <cols>
    <col min="1" max="1" width="12" customWidth="1"/>
    <col min="2" max="2" width="34" customWidth="1"/>
    <col min="3" max="8" width="16" customWidth="1"/>
  </cols>
  <sheetData>
    <row r="1" spans="1:8" x14ac:dyDescent="0.25">
      <c r="A1" s="1" t="s">
        <v>97</v>
      </c>
      <c r="B1" s="1" t="s">
        <v>96</v>
      </c>
      <c r="C1" s="1" t="s">
        <v>110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111</v>
      </c>
    </row>
    <row r="2" spans="1:8" x14ac:dyDescent="0.25">
      <c r="A2" s="2" t="s">
        <v>103</v>
      </c>
      <c r="B2" s="7" t="s">
        <v>50</v>
      </c>
      <c r="C2" s="3">
        <v>650</v>
      </c>
      <c r="D2" s="4">
        <v>210</v>
      </c>
      <c r="E2" s="5">
        <v>18</v>
      </c>
      <c r="F2" s="5">
        <v>8</v>
      </c>
      <c r="G2" s="5">
        <v>16</v>
      </c>
      <c r="H2" s="6">
        <v>4</v>
      </c>
    </row>
    <row r="3" spans="1:8" x14ac:dyDescent="0.25">
      <c r="A3" s="2" t="s">
        <v>104</v>
      </c>
      <c r="B3" s="7" t="s">
        <v>40</v>
      </c>
      <c r="C3" s="3">
        <v>900</v>
      </c>
      <c r="D3" s="4">
        <v>280</v>
      </c>
      <c r="E3" s="5">
        <v>10</v>
      </c>
      <c r="F3" s="5">
        <v>22</v>
      </c>
      <c r="G3" s="5">
        <v>8</v>
      </c>
      <c r="H3" s="6">
        <v>4</v>
      </c>
    </row>
    <row r="4" spans="1:8" x14ac:dyDescent="0.25">
      <c r="A4" s="2" t="s">
        <v>105</v>
      </c>
      <c r="B4" s="7" t="s">
        <v>50</v>
      </c>
      <c r="C4" s="3">
        <v>650</v>
      </c>
      <c r="D4" s="4">
        <v>210</v>
      </c>
      <c r="E4" s="5">
        <v>18</v>
      </c>
      <c r="F4" s="5">
        <v>8</v>
      </c>
      <c r="G4" s="5">
        <v>16</v>
      </c>
      <c r="H4" s="6">
        <v>4</v>
      </c>
    </row>
    <row r="5" spans="1:8" x14ac:dyDescent="0.25">
      <c r="A5" s="2" t="s">
        <v>106</v>
      </c>
      <c r="B5" s="7" t="s">
        <v>40</v>
      </c>
      <c r="C5" s="3">
        <v>900</v>
      </c>
      <c r="D5" s="4">
        <v>280</v>
      </c>
      <c r="E5" s="5">
        <v>10</v>
      </c>
      <c r="F5" s="5">
        <v>22</v>
      </c>
      <c r="G5" s="5">
        <v>8</v>
      </c>
      <c r="H5" s="6">
        <v>4</v>
      </c>
    </row>
    <row r="6" spans="1:8" x14ac:dyDescent="0.25">
      <c r="A6" s="2" t="s">
        <v>107</v>
      </c>
      <c r="B6" s="7" t="s">
        <v>24</v>
      </c>
      <c r="C6" s="3">
        <v>450</v>
      </c>
      <c r="D6" s="4">
        <v>180</v>
      </c>
      <c r="E6" s="5">
        <v>25</v>
      </c>
      <c r="F6" s="5">
        <v>6</v>
      </c>
      <c r="G6" s="5">
        <v>5</v>
      </c>
      <c r="H6" s="6">
        <v>4</v>
      </c>
    </row>
    <row r="7" spans="1:8" x14ac:dyDescent="0.25">
      <c r="C7" s="16"/>
      <c r="D7" s="17"/>
      <c r="E7" s="18"/>
      <c r="F7" s="18"/>
      <c r="G7" s="18"/>
      <c r="H7" s="19"/>
    </row>
    <row r="8" spans="1:8" x14ac:dyDescent="0.25">
      <c r="A8" s="20" t="s">
        <v>108</v>
      </c>
      <c r="B8" s="10"/>
      <c r="C8" s="21">
        <f t="shared" ref="C8:H8" si="0">SUM(C2:C6)</f>
        <v>3550</v>
      </c>
      <c r="D8" s="22">
        <f t="shared" si="0"/>
        <v>1160</v>
      </c>
      <c r="E8" s="23">
        <f t="shared" si="0"/>
        <v>81</v>
      </c>
      <c r="F8" s="23">
        <f t="shared" si="0"/>
        <v>66</v>
      </c>
      <c r="G8" s="23">
        <f t="shared" si="0"/>
        <v>53</v>
      </c>
      <c r="H8" s="24">
        <f t="shared" si="0"/>
        <v>20</v>
      </c>
    </row>
    <row r="10" spans="1:8" x14ac:dyDescent="0.25">
      <c r="A10" s="9" t="s">
        <v>112</v>
      </c>
    </row>
    <row r="11" spans="1:8" x14ac:dyDescent="0.25">
      <c r="B11" t="s">
        <v>98</v>
      </c>
      <c r="C11" s="17">
        <v>1300</v>
      </c>
      <c r="D11" t="s">
        <v>113</v>
      </c>
      <c r="E11" s="17">
        <f>D8</f>
        <v>1160</v>
      </c>
    </row>
    <row r="12" spans="1:8" x14ac:dyDescent="0.25">
      <c r="B12" t="s">
        <v>99</v>
      </c>
      <c r="C12" s="18">
        <v>70</v>
      </c>
      <c r="D12" t="s">
        <v>113</v>
      </c>
      <c r="E12" s="18">
        <f>E8</f>
        <v>81</v>
      </c>
    </row>
    <row r="13" spans="1:8" x14ac:dyDescent="0.25">
      <c r="B13" t="s">
        <v>100</v>
      </c>
      <c r="C13" s="18">
        <v>35</v>
      </c>
      <c r="D13" t="s">
        <v>113</v>
      </c>
      <c r="E13" s="18">
        <f>F8</f>
        <v>66</v>
      </c>
    </row>
    <row r="14" spans="1:8" x14ac:dyDescent="0.25">
      <c r="B14" t="s">
        <v>101</v>
      </c>
      <c r="C14" s="18">
        <v>200</v>
      </c>
      <c r="D14" t="s">
        <v>113</v>
      </c>
      <c r="E14" s="18">
        <f>G8</f>
        <v>53</v>
      </c>
    </row>
    <row r="16" spans="1:8" x14ac:dyDescent="0.25">
      <c r="B16" t="s">
        <v>114</v>
      </c>
      <c r="C16" t="str">
        <f>IF(AND(E11&lt;=C11,E12&lt;=C12,E13&lt;=C13,E14&lt;=C14),"IGEN","NEM")</f>
        <v>NEM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6"/>
  <sheetViews>
    <sheetView workbookViewId="0">
      <pane ySplit="3" topLeftCell="A4" activePane="bottomLeft" state="frozen"/>
      <selection pane="bottomLeft" activeCell="H31" sqref="H31"/>
    </sheetView>
  </sheetViews>
  <sheetFormatPr defaultRowHeight="15" x14ac:dyDescent="0.25"/>
  <cols>
    <col min="1" max="1" width="12" customWidth="1"/>
    <col min="2" max="2" width="34" customWidth="1"/>
    <col min="3" max="8" width="16" customWidth="1"/>
  </cols>
  <sheetData>
    <row r="1" spans="1:8" x14ac:dyDescent="0.25">
      <c r="A1" s="1" t="s">
        <v>97</v>
      </c>
      <c r="B1" s="1" t="s">
        <v>96</v>
      </c>
      <c r="C1" s="1" t="s">
        <v>110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111</v>
      </c>
    </row>
    <row r="2" spans="1:8" x14ac:dyDescent="0.25">
      <c r="A2" s="2" t="s">
        <v>103</v>
      </c>
      <c r="B2" s="7" t="s">
        <v>20</v>
      </c>
      <c r="C2" s="3">
        <v>400</v>
      </c>
      <c r="D2" s="4">
        <v>550</v>
      </c>
      <c r="E2" s="5">
        <v>72</v>
      </c>
      <c r="F2" s="5">
        <v>18</v>
      </c>
      <c r="G2" s="5">
        <v>20</v>
      </c>
      <c r="H2" s="6">
        <v>4</v>
      </c>
    </row>
    <row r="3" spans="1:8" x14ac:dyDescent="0.25">
      <c r="A3" s="2" t="s">
        <v>104</v>
      </c>
      <c r="B3" s="7" t="s">
        <v>60</v>
      </c>
      <c r="C3" s="3">
        <v>400</v>
      </c>
      <c r="D3" s="4">
        <v>310</v>
      </c>
      <c r="E3" s="5">
        <v>15</v>
      </c>
      <c r="F3" s="5">
        <v>22</v>
      </c>
      <c r="G3" s="5">
        <v>14</v>
      </c>
      <c r="H3" s="6">
        <v>4</v>
      </c>
    </row>
    <row r="4" spans="1:8" x14ac:dyDescent="0.25">
      <c r="A4" s="2" t="s">
        <v>105</v>
      </c>
      <c r="B4" s="7" t="s">
        <v>62</v>
      </c>
      <c r="C4" s="3">
        <v>550</v>
      </c>
      <c r="D4" s="4">
        <v>520</v>
      </c>
      <c r="E4" s="5">
        <v>55</v>
      </c>
      <c r="F4" s="5">
        <v>18</v>
      </c>
      <c r="G4" s="5">
        <v>28</v>
      </c>
      <c r="H4" s="6">
        <v>4</v>
      </c>
    </row>
    <row r="5" spans="1:8" x14ac:dyDescent="0.25">
      <c r="A5" s="2" t="s">
        <v>106</v>
      </c>
      <c r="B5" s="7" t="s">
        <v>46</v>
      </c>
      <c r="C5" s="3">
        <v>350</v>
      </c>
      <c r="D5" s="4">
        <v>320</v>
      </c>
      <c r="E5" s="5">
        <v>42</v>
      </c>
      <c r="F5" s="5">
        <v>10</v>
      </c>
      <c r="G5" s="5">
        <v>14</v>
      </c>
      <c r="H5" s="6">
        <v>4</v>
      </c>
    </row>
    <row r="6" spans="1:8" x14ac:dyDescent="0.25">
      <c r="A6" s="2" t="s">
        <v>107</v>
      </c>
      <c r="B6" s="7" t="s">
        <v>46</v>
      </c>
      <c r="C6" s="3">
        <v>350</v>
      </c>
      <c r="D6" s="4">
        <v>320</v>
      </c>
      <c r="E6" s="5">
        <v>42</v>
      </c>
      <c r="F6" s="5">
        <v>10</v>
      </c>
      <c r="G6" s="5">
        <v>14</v>
      </c>
      <c r="H6" s="6">
        <v>4</v>
      </c>
    </row>
    <row r="7" spans="1:8" x14ac:dyDescent="0.25">
      <c r="C7" s="16"/>
      <c r="D7" s="17"/>
      <c r="E7" s="18"/>
      <c r="F7" s="18"/>
      <c r="G7" s="18"/>
      <c r="H7" s="19"/>
    </row>
    <row r="8" spans="1:8" x14ac:dyDescent="0.25">
      <c r="A8" s="20" t="s">
        <v>108</v>
      </c>
      <c r="B8" s="10"/>
      <c r="C8" s="21">
        <f t="shared" ref="C8:H8" si="0">SUM(C2:C6)</f>
        <v>2050</v>
      </c>
      <c r="D8" s="22">
        <f t="shared" si="0"/>
        <v>2020</v>
      </c>
      <c r="E8" s="23">
        <f t="shared" si="0"/>
        <v>226</v>
      </c>
      <c r="F8" s="23">
        <f t="shared" si="0"/>
        <v>78</v>
      </c>
      <c r="G8" s="23">
        <f t="shared" si="0"/>
        <v>90</v>
      </c>
      <c r="H8" s="24">
        <f t="shared" si="0"/>
        <v>20</v>
      </c>
    </row>
    <row r="10" spans="1:8" x14ac:dyDescent="0.25">
      <c r="A10" s="9" t="s">
        <v>112</v>
      </c>
    </row>
    <row r="11" spans="1:8" x14ac:dyDescent="0.25">
      <c r="B11" t="s">
        <v>98</v>
      </c>
      <c r="C11" s="17">
        <v>4000</v>
      </c>
      <c r="D11" t="s">
        <v>113</v>
      </c>
      <c r="E11" s="17">
        <f>D8</f>
        <v>2020</v>
      </c>
    </row>
    <row r="12" spans="1:8" x14ac:dyDescent="0.25">
      <c r="B12" t="s">
        <v>99</v>
      </c>
      <c r="C12" s="18">
        <v>350</v>
      </c>
      <c r="D12" t="s">
        <v>113</v>
      </c>
      <c r="E12" s="18">
        <f>E8</f>
        <v>226</v>
      </c>
    </row>
    <row r="13" spans="1:8" x14ac:dyDescent="0.25">
      <c r="B13" t="s">
        <v>100</v>
      </c>
      <c r="C13" s="18">
        <v>270</v>
      </c>
      <c r="D13" t="s">
        <v>113</v>
      </c>
      <c r="E13" s="18">
        <f>F8</f>
        <v>78</v>
      </c>
    </row>
    <row r="14" spans="1:8" x14ac:dyDescent="0.25">
      <c r="B14" t="s">
        <v>101</v>
      </c>
      <c r="C14" s="18">
        <v>300</v>
      </c>
      <c r="D14" t="s">
        <v>113</v>
      </c>
      <c r="E14" s="18">
        <f>G8</f>
        <v>90</v>
      </c>
    </row>
    <row r="16" spans="1:8" x14ac:dyDescent="0.25">
      <c r="B16" t="s">
        <v>114</v>
      </c>
      <c r="C16" t="str">
        <f>IF(AND(E11&lt;=C11,E12&lt;=C12,E13&lt;=C13,E14&lt;=C14),"IGEN","NEM")</f>
        <v>IGEN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6"/>
  <sheetViews>
    <sheetView workbookViewId="0">
      <pane ySplit="3" topLeftCell="A4" activePane="bottomLeft" state="frozen"/>
      <selection pane="bottomLeft" activeCell="C11" sqref="C11"/>
    </sheetView>
  </sheetViews>
  <sheetFormatPr defaultRowHeight="15" x14ac:dyDescent="0.25"/>
  <cols>
    <col min="1" max="1" width="12" customWidth="1"/>
    <col min="2" max="2" width="34" customWidth="1"/>
    <col min="3" max="8" width="16" customWidth="1"/>
  </cols>
  <sheetData>
    <row r="1" spans="1:8" x14ac:dyDescent="0.25">
      <c r="A1" s="1" t="s">
        <v>97</v>
      </c>
      <c r="B1" s="1" t="s">
        <v>96</v>
      </c>
      <c r="C1" s="1" t="s">
        <v>110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111</v>
      </c>
    </row>
    <row r="2" spans="1:8" x14ac:dyDescent="0.25">
      <c r="A2" s="2" t="s">
        <v>103</v>
      </c>
      <c r="B2" s="7" t="s">
        <v>46</v>
      </c>
      <c r="C2" s="3">
        <v>350</v>
      </c>
      <c r="D2" s="4">
        <v>320</v>
      </c>
      <c r="E2" s="5">
        <v>42</v>
      </c>
      <c r="F2" s="5">
        <v>10</v>
      </c>
      <c r="G2" s="5">
        <v>14</v>
      </c>
      <c r="H2" s="6">
        <v>4</v>
      </c>
    </row>
    <row r="3" spans="1:8" x14ac:dyDescent="0.25">
      <c r="A3" s="2" t="s">
        <v>104</v>
      </c>
      <c r="B3" s="7" t="s">
        <v>14</v>
      </c>
      <c r="C3" s="3">
        <v>500</v>
      </c>
      <c r="D3" s="4">
        <v>410</v>
      </c>
      <c r="E3" s="5">
        <v>38</v>
      </c>
      <c r="F3" s="5">
        <v>18</v>
      </c>
      <c r="G3" s="5">
        <v>22</v>
      </c>
      <c r="H3" s="6">
        <v>4</v>
      </c>
    </row>
    <row r="4" spans="1:8" x14ac:dyDescent="0.25">
      <c r="A4" s="2" t="s">
        <v>105</v>
      </c>
      <c r="B4" s="7" t="s">
        <v>20</v>
      </c>
      <c r="C4" s="3">
        <v>400</v>
      </c>
      <c r="D4" s="4">
        <v>550</v>
      </c>
      <c r="E4" s="5">
        <v>72</v>
      </c>
      <c r="F4" s="5">
        <v>18</v>
      </c>
      <c r="G4" s="5">
        <v>20</v>
      </c>
      <c r="H4" s="6">
        <v>4</v>
      </c>
    </row>
    <row r="5" spans="1:8" x14ac:dyDescent="0.25">
      <c r="A5" s="2" t="s">
        <v>106</v>
      </c>
      <c r="B5" s="7" t="s">
        <v>64</v>
      </c>
      <c r="C5" s="3">
        <v>650</v>
      </c>
      <c r="D5" s="4">
        <v>590</v>
      </c>
      <c r="E5" s="5">
        <v>85</v>
      </c>
      <c r="F5" s="5">
        <v>18</v>
      </c>
      <c r="G5" s="5">
        <v>16</v>
      </c>
      <c r="H5" s="6">
        <v>4</v>
      </c>
    </row>
    <row r="6" spans="1:8" x14ac:dyDescent="0.25">
      <c r="A6" s="2" t="s">
        <v>107</v>
      </c>
      <c r="B6" s="7" t="s">
        <v>62</v>
      </c>
      <c r="C6" s="3">
        <v>550</v>
      </c>
      <c r="D6" s="4">
        <v>520</v>
      </c>
      <c r="E6" s="5">
        <v>55</v>
      </c>
      <c r="F6" s="5">
        <v>18</v>
      </c>
      <c r="G6" s="5">
        <v>28</v>
      </c>
      <c r="H6" s="6">
        <v>4</v>
      </c>
    </row>
    <row r="7" spans="1:8" x14ac:dyDescent="0.25">
      <c r="C7" s="16"/>
      <c r="D7" s="17"/>
      <c r="E7" s="18"/>
      <c r="F7" s="18"/>
      <c r="G7" s="18"/>
      <c r="H7" s="19"/>
    </row>
    <row r="8" spans="1:8" x14ac:dyDescent="0.25">
      <c r="A8" s="20" t="s">
        <v>108</v>
      </c>
      <c r="B8" s="10"/>
      <c r="C8" s="21">
        <f t="shared" ref="C8:H8" si="0">SUM(C2:C6)</f>
        <v>2450</v>
      </c>
      <c r="D8" s="22">
        <f t="shared" si="0"/>
        <v>2390</v>
      </c>
      <c r="E8" s="23">
        <f t="shared" si="0"/>
        <v>292</v>
      </c>
      <c r="F8" s="23">
        <f t="shared" si="0"/>
        <v>82</v>
      </c>
      <c r="G8" s="23">
        <f t="shared" si="0"/>
        <v>100</v>
      </c>
      <c r="H8" s="24">
        <f t="shared" si="0"/>
        <v>20</v>
      </c>
    </row>
    <row r="10" spans="1:8" x14ac:dyDescent="0.25">
      <c r="A10" s="9" t="s">
        <v>112</v>
      </c>
    </row>
    <row r="11" spans="1:8" x14ac:dyDescent="0.25">
      <c r="B11" t="s">
        <v>98</v>
      </c>
      <c r="C11" s="17">
        <v>4000</v>
      </c>
      <c r="D11" t="s">
        <v>113</v>
      </c>
      <c r="E11" s="17">
        <f>D8</f>
        <v>2390</v>
      </c>
    </row>
    <row r="12" spans="1:8" x14ac:dyDescent="0.25">
      <c r="B12" t="s">
        <v>99</v>
      </c>
      <c r="C12" s="18">
        <v>350</v>
      </c>
      <c r="D12" t="s">
        <v>113</v>
      </c>
      <c r="E12" s="18">
        <f>E8</f>
        <v>292</v>
      </c>
    </row>
    <row r="13" spans="1:8" x14ac:dyDescent="0.25">
      <c r="B13" t="s">
        <v>100</v>
      </c>
      <c r="C13" s="18">
        <v>270</v>
      </c>
      <c r="D13" t="s">
        <v>113</v>
      </c>
      <c r="E13" s="18">
        <f>F8</f>
        <v>82</v>
      </c>
    </row>
    <row r="14" spans="1:8" x14ac:dyDescent="0.25">
      <c r="B14" t="s">
        <v>101</v>
      </c>
      <c r="C14" s="18">
        <v>300</v>
      </c>
      <c r="D14" t="s">
        <v>113</v>
      </c>
      <c r="E14" s="18">
        <f>G8</f>
        <v>100</v>
      </c>
    </row>
    <row r="16" spans="1:8" x14ac:dyDescent="0.25">
      <c r="B16" t="s">
        <v>114</v>
      </c>
      <c r="C16" t="str">
        <f>IF(AND(E11&lt;=C11,E12&lt;=C12,E13&lt;=C13,E14&lt;=C14),"IGEN","NEM")</f>
        <v>IGEN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6"/>
  <sheetViews>
    <sheetView workbookViewId="0">
      <pane ySplit="3" topLeftCell="A4" activePane="bottomLeft" state="frozen"/>
      <selection pane="bottomLeft" activeCell="G31" sqref="G31"/>
    </sheetView>
  </sheetViews>
  <sheetFormatPr defaultRowHeight="15" x14ac:dyDescent="0.25"/>
  <cols>
    <col min="1" max="1" width="12" customWidth="1"/>
    <col min="2" max="2" width="34" customWidth="1"/>
    <col min="3" max="8" width="16" customWidth="1"/>
  </cols>
  <sheetData>
    <row r="1" spans="1:8" x14ac:dyDescent="0.25">
      <c r="A1" s="1" t="s">
        <v>97</v>
      </c>
      <c r="B1" s="1" t="s">
        <v>96</v>
      </c>
      <c r="C1" s="1" t="s">
        <v>110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111</v>
      </c>
    </row>
    <row r="2" spans="1:8" x14ac:dyDescent="0.25">
      <c r="A2" s="2" t="s">
        <v>103</v>
      </c>
      <c r="B2" s="7" t="s">
        <v>40</v>
      </c>
      <c r="C2" s="3">
        <v>900</v>
      </c>
      <c r="D2" s="4">
        <v>280</v>
      </c>
      <c r="E2" s="5">
        <v>10</v>
      </c>
      <c r="F2" s="5">
        <v>22</v>
      </c>
      <c r="G2" s="5">
        <v>8</v>
      </c>
      <c r="H2" s="6">
        <v>4</v>
      </c>
    </row>
    <row r="3" spans="1:8" x14ac:dyDescent="0.25">
      <c r="A3" s="2" t="s">
        <v>104</v>
      </c>
      <c r="B3" s="7" t="s">
        <v>58</v>
      </c>
      <c r="C3" s="3">
        <v>1800</v>
      </c>
      <c r="D3" s="4">
        <v>410</v>
      </c>
      <c r="E3" s="5">
        <v>8</v>
      </c>
      <c r="F3" s="5">
        <v>28</v>
      </c>
      <c r="G3" s="5">
        <v>32</v>
      </c>
      <c r="H3" s="6">
        <v>4</v>
      </c>
    </row>
    <row r="4" spans="1:8" x14ac:dyDescent="0.25">
      <c r="A4" s="2" t="s">
        <v>105</v>
      </c>
      <c r="B4" s="7" t="s">
        <v>40</v>
      </c>
      <c r="C4" s="3">
        <v>900</v>
      </c>
      <c r="D4" s="4">
        <v>280</v>
      </c>
      <c r="E4" s="5">
        <v>10</v>
      </c>
      <c r="F4" s="5">
        <v>22</v>
      </c>
      <c r="G4" s="5">
        <v>8</v>
      </c>
      <c r="H4" s="6">
        <v>4</v>
      </c>
    </row>
    <row r="5" spans="1:8" x14ac:dyDescent="0.25">
      <c r="A5" s="2" t="s">
        <v>106</v>
      </c>
      <c r="B5" s="7" t="s">
        <v>40</v>
      </c>
      <c r="C5" s="3">
        <v>900</v>
      </c>
      <c r="D5" s="4">
        <v>280</v>
      </c>
      <c r="E5" s="5">
        <v>10</v>
      </c>
      <c r="F5" s="5">
        <v>22</v>
      </c>
      <c r="G5" s="5">
        <v>8</v>
      </c>
      <c r="H5" s="6">
        <v>4</v>
      </c>
    </row>
    <row r="6" spans="1:8" x14ac:dyDescent="0.25">
      <c r="A6" s="2" t="s">
        <v>107</v>
      </c>
      <c r="B6" s="7" t="s">
        <v>40</v>
      </c>
      <c r="C6" s="3">
        <v>900</v>
      </c>
      <c r="D6" s="4">
        <v>280</v>
      </c>
      <c r="E6" s="5">
        <v>10</v>
      </c>
      <c r="F6" s="5">
        <v>22</v>
      </c>
      <c r="G6" s="5">
        <v>8</v>
      </c>
      <c r="H6" s="6">
        <v>4</v>
      </c>
    </row>
    <row r="7" spans="1:8" x14ac:dyDescent="0.25">
      <c r="C7" s="16"/>
      <c r="D7" s="17"/>
      <c r="E7" s="18"/>
      <c r="F7" s="18"/>
      <c r="G7" s="18"/>
      <c r="H7" s="19"/>
    </row>
    <row r="8" spans="1:8" x14ac:dyDescent="0.25">
      <c r="A8" s="20" t="s">
        <v>108</v>
      </c>
      <c r="B8" s="10"/>
      <c r="C8" s="21">
        <f t="shared" ref="C8:H8" si="0">SUM(C2:C6)</f>
        <v>5400</v>
      </c>
      <c r="D8" s="22">
        <f t="shared" si="0"/>
        <v>1530</v>
      </c>
      <c r="E8" s="23">
        <f t="shared" si="0"/>
        <v>48</v>
      </c>
      <c r="F8" s="23">
        <f t="shared" si="0"/>
        <v>116</v>
      </c>
      <c r="G8" s="23">
        <f t="shared" si="0"/>
        <v>64</v>
      </c>
      <c r="H8" s="24">
        <f t="shared" si="0"/>
        <v>20</v>
      </c>
    </row>
    <row r="10" spans="1:8" x14ac:dyDescent="0.25">
      <c r="A10" s="9" t="s">
        <v>112</v>
      </c>
    </row>
    <row r="11" spans="1:8" x14ac:dyDescent="0.25">
      <c r="B11" t="s">
        <v>98</v>
      </c>
      <c r="C11" s="17">
        <v>2100</v>
      </c>
      <c r="D11" t="s">
        <v>113</v>
      </c>
      <c r="E11" s="17">
        <f>D8</f>
        <v>1530</v>
      </c>
    </row>
    <row r="12" spans="1:8" x14ac:dyDescent="0.25">
      <c r="B12" t="s">
        <v>99</v>
      </c>
      <c r="C12" s="18">
        <v>50</v>
      </c>
      <c r="D12" t="s">
        <v>113</v>
      </c>
      <c r="E12" s="18">
        <f>E8</f>
        <v>48</v>
      </c>
    </row>
    <row r="13" spans="1:8" x14ac:dyDescent="0.25">
      <c r="B13" t="s">
        <v>100</v>
      </c>
      <c r="C13" s="18">
        <v>200</v>
      </c>
      <c r="D13" t="s">
        <v>113</v>
      </c>
      <c r="E13" s="18">
        <f>F8</f>
        <v>116</v>
      </c>
    </row>
    <row r="14" spans="1:8" x14ac:dyDescent="0.25">
      <c r="B14" t="s">
        <v>101</v>
      </c>
      <c r="C14" s="18">
        <v>180</v>
      </c>
      <c r="D14" t="s">
        <v>113</v>
      </c>
      <c r="E14" s="18">
        <f>G8</f>
        <v>64</v>
      </c>
    </row>
    <row r="16" spans="1:8" x14ac:dyDescent="0.25">
      <c r="B16" t="s">
        <v>114</v>
      </c>
      <c r="C16" t="str">
        <f>IF(AND(E11&lt;=C11,E12&lt;=C12,E13&lt;=C13,E14&lt;=C14),"IGEN","NEM")</f>
        <v>IGEN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6"/>
  <sheetViews>
    <sheetView workbookViewId="0">
      <pane ySplit="3" topLeftCell="A4" activePane="bottomLeft" state="frozen"/>
      <selection pane="bottomLeft" activeCell="H30" sqref="H30"/>
    </sheetView>
  </sheetViews>
  <sheetFormatPr defaultRowHeight="15" x14ac:dyDescent="0.25"/>
  <cols>
    <col min="1" max="1" width="12" customWidth="1"/>
    <col min="2" max="2" width="34" customWidth="1"/>
    <col min="3" max="8" width="16" customWidth="1"/>
  </cols>
  <sheetData>
    <row r="1" spans="1:8" x14ac:dyDescent="0.25">
      <c r="A1" s="1" t="s">
        <v>97</v>
      </c>
      <c r="B1" s="1" t="s">
        <v>96</v>
      </c>
      <c r="C1" s="1" t="s">
        <v>110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111</v>
      </c>
    </row>
    <row r="2" spans="1:8" x14ac:dyDescent="0.25">
      <c r="A2" s="2" t="s">
        <v>103</v>
      </c>
      <c r="B2" s="7" t="s">
        <v>58</v>
      </c>
      <c r="C2" s="3">
        <v>1800</v>
      </c>
      <c r="D2" s="4">
        <v>410</v>
      </c>
      <c r="E2" s="5">
        <v>8</v>
      </c>
      <c r="F2" s="5">
        <v>28</v>
      </c>
      <c r="G2" s="5">
        <v>32</v>
      </c>
      <c r="H2" s="6">
        <v>4</v>
      </c>
    </row>
    <row r="3" spans="1:8" x14ac:dyDescent="0.25">
      <c r="A3" s="2" t="s">
        <v>104</v>
      </c>
      <c r="B3" s="7" t="s">
        <v>58</v>
      </c>
      <c r="C3" s="3">
        <v>1800</v>
      </c>
      <c r="D3" s="4">
        <v>410</v>
      </c>
      <c r="E3" s="5">
        <v>8</v>
      </c>
      <c r="F3" s="5">
        <v>28</v>
      </c>
      <c r="G3" s="5">
        <v>32</v>
      </c>
      <c r="H3" s="6">
        <v>4</v>
      </c>
    </row>
    <row r="4" spans="1:8" x14ac:dyDescent="0.25">
      <c r="A4" s="2" t="s">
        <v>105</v>
      </c>
      <c r="B4" s="7" t="s">
        <v>40</v>
      </c>
      <c r="C4" s="3">
        <v>900</v>
      </c>
      <c r="D4" s="4">
        <v>280</v>
      </c>
      <c r="E4" s="5">
        <v>10</v>
      </c>
      <c r="F4" s="5">
        <v>22</v>
      </c>
      <c r="G4" s="5">
        <v>8</v>
      </c>
      <c r="H4" s="6">
        <v>4</v>
      </c>
    </row>
    <row r="5" spans="1:8" x14ac:dyDescent="0.25">
      <c r="A5" s="2" t="s">
        <v>106</v>
      </c>
      <c r="B5" s="7" t="s">
        <v>18</v>
      </c>
      <c r="C5" s="3">
        <v>1700</v>
      </c>
      <c r="D5" s="4">
        <v>380</v>
      </c>
      <c r="E5" s="5">
        <v>12</v>
      </c>
      <c r="F5" s="5">
        <v>22</v>
      </c>
      <c r="G5" s="5">
        <v>32</v>
      </c>
      <c r="H5" s="6">
        <v>4</v>
      </c>
    </row>
    <row r="6" spans="1:8" x14ac:dyDescent="0.25">
      <c r="A6" s="2" t="s">
        <v>107</v>
      </c>
      <c r="B6" s="7" t="s">
        <v>18</v>
      </c>
      <c r="C6" s="3">
        <v>1700</v>
      </c>
      <c r="D6" s="4">
        <v>380</v>
      </c>
      <c r="E6" s="5">
        <v>12</v>
      </c>
      <c r="F6" s="5">
        <v>22</v>
      </c>
      <c r="G6" s="5">
        <v>32</v>
      </c>
      <c r="H6" s="6">
        <v>4</v>
      </c>
    </row>
    <row r="7" spans="1:8" x14ac:dyDescent="0.25">
      <c r="C7" s="16"/>
      <c r="D7" s="17"/>
      <c r="E7" s="18"/>
      <c r="F7" s="18"/>
      <c r="G7" s="18"/>
      <c r="H7" s="19"/>
    </row>
    <row r="8" spans="1:8" x14ac:dyDescent="0.25">
      <c r="A8" s="20" t="s">
        <v>108</v>
      </c>
      <c r="B8" s="10"/>
      <c r="C8" s="21">
        <f t="shared" ref="C8:H8" si="0">SUM(C2:C6)</f>
        <v>7900</v>
      </c>
      <c r="D8" s="22">
        <f t="shared" si="0"/>
        <v>1860</v>
      </c>
      <c r="E8" s="23">
        <f t="shared" si="0"/>
        <v>50</v>
      </c>
      <c r="F8" s="23">
        <f t="shared" si="0"/>
        <v>122</v>
      </c>
      <c r="G8" s="23">
        <f t="shared" si="0"/>
        <v>136</v>
      </c>
      <c r="H8" s="24">
        <f t="shared" si="0"/>
        <v>20</v>
      </c>
    </row>
    <row r="10" spans="1:8" x14ac:dyDescent="0.25">
      <c r="A10" s="9" t="s">
        <v>112</v>
      </c>
    </row>
    <row r="11" spans="1:8" x14ac:dyDescent="0.25">
      <c r="B11" t="s">
        <v>98</v>
      </c>
      <c r="C11" s="17">
        <v>2100</v>
      </c>
      <c r="D11" t="s">
        <v>113</v>
      </c>
      <c r="E11" s="17">
        <f>D8</f>
        <v>1860</v>
      </c>
    </row>
    <row r="12" spans="1:8" x14ac:dyDescent="0.25">
      <c r="B12" t="s">
        <v>99</v>
      </c>
      <c r="C12" s="18">
        <v>50</v>
      </c>
      <c r="D12" t="s">
        <v>113</v>
      </c>
      <c r="E12" s="18">
        <f>E8</f>
        <v>50</v>
      </c>
    </row>
    <row r="13" spans="1:8" x14ac:dyDescent="0.25">
      <c r="B13" t="s">
        <v>100</v>
      </c>
      <c r="C13" s="18">
        <v>200</v>
      </c>
      <c r="D13" t="s">
        <v>113</v>
      </c>
      <c r="E13" s="18">
        <f>F8</f>
        <v>122</v>
      </c>
    </row>
    <row r="14" spans="1:8" x14ac:dyDescent="0.25">
      <c r="B14" t="s">
        <v>101</v>
      </c>
      <c r="C14" s="18">
        <v>180</v>
      </c>
      <c r="D14" t="s">
        <v>113</v>
      </c>
      <c r="E14" s="18">
        <f>G8</f>
        <v>136</v>
      </c>
    </row>
    <row r="16" spans="1:8" x14ac:dyDescent="0.25">
      <c r="B16" t="s">
        <v>114</v>
      </c>
      <c r="C16" t="str">
        <f>IF(AND(E11&lt;=C11,E12&lt;=C12,E13&lt;=C13,E14&lt;=C14),"IGEN","NEM")</f>
        <v>IGEN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16"/>
  <sheetViews>
    <sheetView workbookViewId="0">
      <pane ySplit="3" topLeftCell="A4" activePane="bottomLeft" state="frozen"/>
      <selection pane="bottomLeft" activeCell="H35" sqref="H35"/>
    </sheetView>
  </sheetViews>
  <sheetFormatPr defaultRowHeight="15" x14ac:dyDescent="0.25"/>
  <cols>
    <col min="1" max="1" width="12" customWidth="1"/>
    <col min="2" max="2" width="34" customWidth="1"/>
    <col min="3" max="8" width="16" customWidth="1"/>
  </cols>
  <sheetData>
    <row r="1" spans="1:8" x14ac:dyDescent="0.25">
      <c r="A1" s="1" t="s">
        <v>97</v>
      </c>
      <c r="B1" s="1" t="s">
        <v>96</v>
      </c>
      <c r="C1" s="1" t="s">
        <v>110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111</v>
      </c>
    </row>
    <row r="2" spans="1:8" x14ac:dyDescent="0.25">
      <c r="A2" s="2" t="s">
        <v>103</v>
      </c>
      <c r="B2" s="7" t="s">
        <v>60</v>
      </c>
      <c r="C2" s="3">
        <v>400</v>
      </c>
      <c r="D2" s="4">
        <v>310</v>
      </c>
      <c r="E2" s="5">
        <v>15</v>
      </c>
      <c r="F2" s="5">
        <v>22</v>
      </c>
      <c r="G2" s="5">
        <v>14</v>
      </c>
      <c r="H2" s="6">
        <v>4</v>
      </c>
    </row>
    <row r="3" spans="1:8" x14ac:dyDescent="0.25">
      <c r="A3" s="2" t="s">
        <v>104</v>
      </c>
      <c r="B3" s="7" t="s">
        <v>46</v>
      </c>
      <c r="C3" s="3">
        <v>350</v>
      </c>
      <c r="D3" s="4">
        <v>320</v>
      </c>
      <c r="E3" s="5">
        <v>42</v>
      </c>
      <c r="F3" s="5">
        <v>10</v>
      </c>
      <c r="G3" s="5">
        <v>14</v>
      </c>
      <c r="H3" s="6">
        <v>4</v>
      </c>
    </row>
    <row r="4" spans="1:8" x14ac:dyDescent="0.25">
      <c r="A4" s="2" t="s">
        <v>105</v>
      </c>
      <c r="B4" s="7" t="s">
        <v>50</v>
      </c>
      <c r="C4" s="3">
        <v>650</v>
      </c>
      <c r="D4" s="4">
        <v>210</v>
      </c>
      <c r="E4" s="5">
        <v>18</v>
      </c>
      <c r="F4" s="5">
        <v>8</v>
      </c>
      <c r="G4" s="5">
        <v>16</v>
      </c>
      <c r="H4" s="6">
        <v>4</v>
      </c>
    </row>
    <row r="5" spans="1:8" x14ac:dyDescent="0.25">
      <c r="A5" s="2" t="s">
        <v>106</v>
      </c>
      <c r="B5" s="7" t="s">
        <v>32</v>
      </c>
      <c r="C5" s="3">
        <v>550</v>
      </c>
      <c r="D5" s="4">
        <v>380</v>
      </c>
      <c r="E5" s="5">
        <v>45</v>
      </c>
      <c r="F5" s="5">
        <v>18</v>
      </c>
      <c r="G5" s="5">
        <v>10</v>
      </c>
      <c r="H5" s="6">
        <v>4</v>
      </c>
    </row>
    <row r="6" spans="1:8" x14ac:dyDescent="0.25">
      <c r="A6" s="2" t="s">
        <v>107</v>
      </c>
      <c r="B6" s="7" t="s">
        <v>24</v>
      </c>
      <c r="C6" s="3">
        <v>450</v>
      </c>
      <c r="D6" s="4">
        <v>180</v>
      </c>
      <c r="E6" s="5">
        <v>25</v>
      </c>
      <c r="F6" s="5">
        <v>6</v>
      </c>
      <c r="G6" s="5">
        <v>5</v>
      </c>
      <c r="H6" s="6">
        <v>4</v>
      </c>
    </row>
    <row r="7" spans="1:8" x14ac:dyDescent="0.25">
      <c r="C7" s="16"/>
      <c r="D7" s="17"/>
      <c r="E7" s="18"/>
      <c r="F7" s="18"/>
      <c r="G7" s="18"/>
      <c r="H7" s="19"/>
    </row>
    <row r="8" spans="1:8" x14ac:dyDescent="0.25">
      <c r="A8" s="20" t="s">
        <v>108</v>
      </c>
      <c r="B8" s="10"/>
      <c r="C8" s="21">
        <f t="shared" ref="C8:H8" si="0">SUM(C2:C6)</f>
        <v>2400</v>
      </c>
      <c r="D8" s="22">
        <f t="shared" si="0"/>
        <v>1400</v>
      </c>
      <c r="E8" s="23">
        <f t="shared" si="0"/>
        <v>145</v>
      </c>
      <c r="F8" s="23">
        <f t="shared" si="0"/>
        <v>64</v>
      </c>
      <c r="G8" s="23">
        <f t="shared" si="0"/>
        <v>59</v>
      </c>
      <c r="H8" s="24">
        <f t="shared" si="0"/>
        <v>20</v>
      </c>
    </row>
    <row r="10" spans="1:8" x14ac:dyDescent="0.25">
      <c r="A10" s="9" t="s">
        <v>112</v>
      </c>
    </row>
    <row r="11" spans="1:8" x14ac:dyDescent="0.25">
      <c r="B11" t="s">
        <v>98</v>
      </c>
      <c r="C11" s="17">
        <v>1600</v>
      </c>
      <c r="D11" t="s">
        <v>113</v>
      </c>
      <c r="E11" s="17">
        <f>D8</f>
        <v>1400</v>
      </c>
    </row>
    <row r="12" spans="1:8" x14ac:dyDescent="0.25">
      <c r="B12" t="s">
        <v>99</v>
      </c>
      <c r="C12" s="18">
        <v>250</v>
      </c>
      <c r="D12" t="s">
        <v>113</v>
      </c>
      <c r="E12" s="18">
        <f>E8</f>
        <v>145</v>
      </c>
    </row>
    <row r="13" spans="1:8" x14ac:dyDescent="0.25">
      <c r="B13" t="s">
        <v>100</v>
      </c>
      <c r="C13" s="18">
        <v>160</v>
      </c>
      <c r="D13" t="s">
        <v>113</v>
      </c>
      <c r="E13" s="18">
        <f>F8</f>
        <v>64</v>
      </c>
    </row>
    <row r="14" spans="1:8" x14ac:dyDescent="0.25">
      <c r="B14" t="s">
        <v>101</v>
      </c>
      <c r="C14" s="18">
        <v>150</v>
      </c>
      <c r="D14" t="s">
        <v>113</v>
      </c>
      <c r="E14" s="18">
        <f>G8</f>
        <v>59</v>
      </c>
    </row>
    <row r="16" spans="1:8" x14ac:dyDescent="0.25">
      <c r="B16" t="s">
        <v>114</v>
      </c>
      <c r="C16" t="str">
        <f>IF(AND(E11&lt;=C11,E12&lt;=C12,E13&lt;=C13,E14&lt;=C14),"IGEN","NEM")</f>
        <v>IGEN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6"/>
  <sheetViews>
    <sheetView workbookViewId="0">
      <pane ySplit="3" topLeftCell="A4" activePane="bottomLeft" state="frozen"/>
      <selection pane="bottomLeft" activeCell="J33" sqref="J33"/>
    </sheetView>
  </sheetViews>
  <sheetFormatPr defaultRowHeight="15" x14ac:dyDescent="0.25"/>
  <cols>
    <col min="1" max="1" width="12" customWidth="1"/>
    <col min="2" max="2" width="34" customWidth="1"/>
    <col min="3" max="8" width="16" customWidth="1"/>
  </cols>
  <sheetData>
    <row r="1" spans="1:8" x14ac:dyDescent="0.25">
      <c r="A1" s="1" t="s">
        <v>97</v>
      </c>
      <c r="B1" s="1" t="s">
        <v>96</v>
      </c>
      <c r="C1" s="1" t="s">
        <v>110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111</v>
      </c>
    </row>
    <row r="2" spans="1:8" x14ac:dyDescent="0.25">
      <c r="A2" s="2" t="s">
        <v>103</v>
      </c>
      <c r="B2" s="7" t="s">
        <v>50</v>
      </c>
      <c r="C2" s="3">
        <v>650</v>
      </c>
      <c r="D2" s="4">
        <v>210</v>
      </c>
      <c r="E2" s="5">
        <v>18</v>
      </c>
      <c r="F2" s="5">
        <v>8</v>
      </c>
      <c r="G2" s="5">
        <v>16</v>
      </c>
      <c r="H2" s="6">
        <v>4</v>
      </c>
    </row>
    <row r="3" spans="1:8" x14ac:dyDescent="0.25">
      <c r="A3" s="2" t="s">
        <v>104</v>
      </c>
      <c r="B3" s="7" t="s">
        <v>46</v>
      </c>
      <c r="C3" s="3">
        <v>350</v>
      </c>
      <c r="D3" s="4">
        <v>320</v>
      </c>
      <c r="E3" s="5">
        <v>42</v>
      </c>
      <c r="F3" s="5">
        <v>10</v>
      </c>
      <c r="G3" s="5">
        <v>14</v>
      </c>
      <c r="H3" s="6">
        <v>4</v>
      </c>
    </row>
    <row r="4" spans="1:8" x14ac:dyDescent="0.25">
      <c r="A4" s="2" t="s">
        <v>105</v>
      </c>
      <c r="B4" s="7" t="s">
        <v>32</v>
      </c>
      <c r="C4" s="3">
        <v>550</v>
      </c>
      <c r="D4" s="4">
        <v>380</v>
      </c>
      <c r="E4" s="5">
        <v>45</v>
      </c>
      <c r="F4" s="5">
        <v>18</v>
      </c>
      <c r="G4" s="5">
        <v>10</v>
      </c>
      <c r="H4" s="6">
        <v>4</v>
      </c>
    </row>
    <row r="5" spans="1:8" x14ac:dyDescent="0.25">
      <c r="A5" s="2" t="s">
        <v>106</v>
      </c>
      <c r="B5" s="7" t="s">
        <v>40</v>
      </c>
      <c r="C5" s="3">
        <v>900</v>
      </c>
      <c r="D5" s="4">
        <v>280</v>
      </c>
      <c r="E5" s="5">
        <v>10</v>
      </c>
      <c r="F5" s="5">
        <v>22</v>
      </c>
      <c r="G5" s="5">
        <v>8</v>
      </c>
      <c r="H5" s="6">
        <v>4</v>
      </c>
    </row>
    <row r="6" spans="1:8" x14ac:dyDescent="0.25">
      <c r="A6" s="2" t="s">
        <v>107</v>
      </c>
      <c r="B6" s="7" t="s">
        <v>14</v>
      </c>
      <c r="C6" s="3">
        <v>500</v>
      </c>
      <c r="D6" s="4">
        <v>410</v>
      </c>
      <c r="E6" s="5">
        <v>38</v>
      </c>
      <c r="F6" s="5">
        <v>18</v>
      </c>
      <c r="G6" s="5">
        <v>22</v>
      </c>
      <c r="H6" s="6">
        <v>4</v>
      </c>
    </row>
    <row r="7" spans="1:8" x14ac:dyDescent="0.25">
      <c r="C7" s="16"/>
      <c r="D7" s="17"/>
      <c r="E7" s="18"/>
      <c r="F7" s="18"/>
      <c r="G7" s="18"/>
      <c r="H7" s="19"/>
    </row>
    <row r="8" spans="1:8" x14ac:dyDescent="0.25">
      <c r="A8" s="20" t="s">
        <v>108</v>
      </c>
      <c r="B8" s="10"/>
      <c r="C8" s="21">
        <f t="shared" ref="C8:H8" si="0">SUM(C2:C6)</f>
        <v>2950</v>
      </c>
      <c r="D8" s="22">
        <f t="shared" si="0"/>
        <v>1600</v>
      </c>
      <c r="E8" s="23">
        <f t="shared" si="0"/>
        <v>153</v>
      </c>
      <c r="F8" s="23">
        <f t="shared" si="0"/>
        <v>76</v>
      </c>
      <c r="G8" s="23">
        <f t="shared" si="0"/>
        <v>70</v>
      </c>
      <c r="H8" s="24">
        <f t="shared" si="0"/>
        <v>20</v>
      </c>
    </row>
    <row r="10" spans="1:8" x14ac:dyDescent="0.25">
      <c r="A10" s="9" t="s">
        <v>112</v>
      </c>
    </row>
    <row r="11" spans="1:8" x14ac:dyDescent="0.25">
      <c r="B11" t="s">
        <v>98</v>
      </c>
      <c r="C11" s="17">
        <v>1600</v>
      </c>
      <c r="D11" t="s">
        <v>113</v>
      </c>
      <c r="E11" s="17">
        <f>D8</f>
        <v>1600</v>
      </c>
    </row>
    <row r="12" spans="1:8" x14ac:dyDescent="0.25">
      <c r="B12" t="s">
        <v>99</v>
      </c>
      <c r="C12" s="18">
        <v>250</v>
      </c>
      <c r="D12" t="s">
        <v>113</v>
      </c>
      <c r="E12" s="18">
        <f>E8</f>
        <v>153</v>
      </c>
    </row>
    <row r="13" spans="1:8" x14ac:dyDescent="0.25">
      <c r="B13" t="s">
        <v>100</v>
      </c>
      <c r="C13" s="18">
        <v>160</v>
      </c>
      <c r="D13" t="s">
        <v>113</v>
      </c>
      <c r="E13" s="18">
        <f>F8</f>
        <v>76</v>
      </c>
    </row>
    <row r="14" spans="1:8" x14ac:dyDescent="0.25">
      <c r="B14" t="s">
        <v>101</v>
      </c>
      <c r="C14" s="18">
        <v>150</v>
      </c>
      <c r="D14" t="s">
        <v>113</v>
      </c>
      <c r="E14" s="18">
        <f>G8</f>
        <v>70</v>
      </c>
    </row>
    <row r="16" spans="1:8" x14ac:dyDescent="0.25">
      <c r="B16" t="s">
        <v>114</v>
      </c>
      <c r="C16" t="str">
        <f>IF(AND(E11&lt;=C11,E12&lt;=C12,E13&lt;=C13,E14&lt;=C14),"IGEN","NEM")</f>
        <v>IGEN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6"/>
  <sheetViews>
    <sheetView workbookViewId="0">
      <pane ySplit="3" topLeftCell="A4" activePane="bottomLeft" state="frozen"/>
      <selection pane="bottomLeft" sqref="A1:M17"/>
    </sheetView>
  </sheetViews>
  <sheetFormatPr defaultRowHeight="15" x14ac:dyDescent="0.25"/>
  <cols>
    <col min="1" max="1" width="12" customWidth="1"/>
    <col min="2" max="2" width="34" customWidth="1"/>
    <col min="3" max="8" width="16" customWidth="1"/>
  </cols>
  <sheetData>
    <row r="1" spans="1:8" x14ac:dyDescent="0.25">
      <c r="A1" s="1" t="s">
        <v>97</v>
      </c>
      <c r="B1" s="1" t="s">
        <v>96</v>
      </c>
      <c r="C1" s="1" t="s">
        <v>110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111</v>
      </c>
    </row>
    <row r="2" spans="1:8" x14ac:dyDescent="0.25">
      <c r="A2" s="2" t="s">
        <v>103</v>
      </c>
      <c r="B2" s="7" t="s">
        <v>60</v>
      </c>
      <c r="C2" s="3">
        <v>400</v>
      </c>
      <c r="D2" s="4">
        <v>310</v>
      </c>
      <c r="E2" s="5">
        <v>15</v>
      </c>
      <c r="F2" s="5">
        <v>22</v>
      </c>
      <c r="G2" s="5">
        <v>14</v>
      </c>
      <c r="H2" s="6">
        <v>4</v>
      </c>
    </row>
    <row r="3" spans="1:8" x14ac:dyDescent="0.25">
      <c r="A3" s="2" t="s">
        <v>104</v>
      </c>
      <c r="B3" s="7" t="s">
        <v>60</v>
      </c>
      <c r="C3" s="3">
        <v>400</v>
      </c>
      <c r="D3" s="4">
        <v>310</v>
      </c>
      <c r="E3" s="5">
        <v>15</v>
      </c>
      <c r="F3" s="5">
        <v>22</v>
      </c>
      <c r="G3" s="5">
        <v>14</v>
      </c>
      <c r="H3" s="6">
        <v>4</v>
      </c>
    </row>
    <row r="4" spans="1:8" x14ac:dyDescent="0.25">
      <c r="A4" s="2" t="s">
        <v>105</v>
      </c>
      <c r="B4" s="7" t="s">
        <v>58</v>
      </c>
      <c r="C4" s="3">
        <v>1800</v>
      </c>
      <c r="D4" s="4">
        <v>410</v>
      </c>
      <c r="E4" s="5">
        <v>8</v>
      </c>
      <c r="F4" s="5">
        <v>28</v>
      </c>
      <c r="G4" s="5">
        <v>32</v>
      </c>
      <c r="H4" s="6">
        <v>4</v>
      </c>
    </row>
    <row r="5" spans="1:8" x14ac:dyDescent="0.25">
      <c r="A5" s="2" t="s">
        <v>106</v>
      </c>
      <c r="B5" s="7" t="s">
        <v>40</v>
      </c>
      <c r="C5" s="3">
        <v>900</v>
      </c>
      <c r="D5" s="4">
        <v>280</v>
      </c>
      <c r="E5" s="5">
        <v>10</v>
      </c>
      <c r="F5" s="5">
        <v>22</v>
      </c>
      <c r="G5" s="5">
        <v>8</v>
      </c>
      <c r="H5" s="6">
        <v>4</v>
      </c>
    </row>
    <row r="6" spans="1:8" x14ac:dyDescent="0.25">
      <c r="A6" s="2" t="s">
        <v>107</v>
      </c>
      <c r="B6" s="7" t="s">
        <v>40</v>
      </c>
      <c r="C6" s="3">
        <v>900</v>
      </c>
      <c r="D6" s="4">
        <v>280</v>
      </c>
      <c r="E6" s="5">
        <v>10</v>
      </c>
      <c r="F6" s="5">
        <v>22</v>
      </c>
      <c r="G6" s="5">
        <v>8</v>
      </c>
      <c r="H6" s="6">
        <v>4</v>
      </c>
    </row>
    <row r="7" spans="1:8" x14ac:dyDescent="0.25">
      <c r="C7" s="16"/>
      <c r="D7" s="17"/>
      <c r="E7" s="18"/>
      <c r="F7" s="18"/>
      <c r="G7" s="18"/>
      <c r="H7" s="19"/>
    </row>
    <row r="8" spans="1:8" x14ac:dyDescent="0.25">
      <c r="A8" s="20" t="s">
        <v>108</v>
      </c>
      <c r="B8" s="10"/>
      <c r="C8" s="21">
        <f t="shared" ref="C8:H8" si="0">SUM(C2:C6)</f>
        <v>4400</v>
      </c>
      <c r="D8" s="22">
        <f t="shared" si="0"/>
        <v>1590</v>
      </c>
      <c r="E8" s="23">
        <f t="shared" si="0"/>
        <v>58</v>
      </c>
      <c r="F8" s="23">
        <f t="shared" si="0"/>
        <v>116</v>
      </c>
      <c r="G8" s="23">
        <f t="shared" si="0"/>
        <v>76</v>
      </c>
      <c r="H8" s="24">
        <f t="shared" si="0"/>
        <v>20</v>
      </c>
    </row>
    <row r="10" spans="1:8" x14ac:dyDescent="0.25">
      <c r="A10" s="9" t="s">
        <v>112</v>
      </c>
    </row>
    <row r="11" spans="1:8" x14ac:dyDescent="0.25">
      <c r="B11" t="s">
        <v>98</v>
      </c>
      <c r="C11" s="17">
        <v>2100</v>
      </c>
      <c r="D11" t="s">
        <v>113</v>
      </c>
      <c r="E11" s="17">
        <f>D8</f>
        <v>1590</v>
      </c>
    </row>
    <row r="12" spans="1:8" x14ac:dyDescent="0.25">
      <c r="B12" t="s">
        <v>99</v>
      </c>
      <c r="C12" s="18">
        <v>70</v>
      </c>
      <c r="D12" t="s">
        <v>113</v>
      </c>
      <c r="E12" s="18">
        <f>E8</f>
        <v>58</v>
      </c>
    </row>
    <row r="13" spans="1:8" x14ac:dyDescent="0.25">
      <c r="B13" t="s">
        <v>100</v>
      </c>
      <c r="C13" s="18">
        <v>180</v>
      </c>
      <c r="D13" t="s">
        <v>113</v>
      </c>
      <c r="E13" s="18">
        <f>F8</f>
        <v>116</v>
      </c>
    </row>
    <row r="14" spans="1:8" x14ac:dyDescent="0.25">
      <c r="B14" t="s">
        <v>101</v>
      </c>
      <c r="C14" s="18">
        <v>200</v>
      </c>
      <c r="D14" t="s">
        <v>113</v>
      </c>
      <c r="E14" s="18">
        <f>G8</f>
        <v>76</v>
      </c>
    </row>
    <row r="16" spans="1:8" x14ac:dyDescent="0.25">
      <c r="B16" t="s">
        <v>114</v>
      </c>
      <c r="C16" t="str">
        <f>IF(AND(E11&lt;=C11,E12&lt;=C12,E13&lt;=C13,E14&lt;=C14),"IGEN","NEM")</f>
        <v>IGEN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6"/>
  <sheetViews>
    <sheetView workbookViewId="0">
      <pane ySplit="3" topLeftCell="A4" activePane="bottomLeft" state="frozen"/>
      <selection pane="bottomLeft" sqref="A1:T34"/>
    </sheetView>
  </sheetViews>
  <sheetFormatPr defaultRowHeight="15" x14ac:dyDescent="0.25"/>
  <cols>
    <col min="1" max="1" width="12" customWidth="1"/>
    <col min="2" max="2" width="34" customWidth="1"/>
    <col min="3" max="8" width="16" customWidth="1"/>
  </cols>
  <sheetData>
    <row r="1" spans="1:8" x14ac:dyDescent="0.25">
      <c r="A1" s="1" t="s">
        <v>97</v>
      </c>
      <c r="B1" s="1" t="s">
        <v>96</v>
      </c>
      <c r="C1" s="1" t="s">
        <v>110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111</v>
      </c>
    </row>
    <row r="2" spans="1:8" x14ac:dyDescent="0.25">
      <c r="A2" s="2" t="s">
        <v>103</v>
      </c>
      <c r="B2" s="7" t="s">
        <v>40</v>
      </c>
      <c r="C2" s="3">
        <v>900</v>
      </c>
      <c r="D2" s="4">
        <v>280</v>
      </c>
      <c r="E2" s="5">
        <v>10</v>
      </c>
      <c r="F2" s="5">
        <v>22</v>
      </c>
      <c r="G2" s="5">
        <v>8</v>
      </c>
      <c r="H2" s="6">
        <v>4</v>
      </c>
    </row>
    <row r="3" spans="1:8" x14ac:dyDescent="0.25">
      <c r="A3" s="2" t="s">
        <v>104</v>
      </c>
      <c r="B3" s="7" t="s">
        <v>50</v>
      </c>
      <c r="C3" s="3">
        <v>650</v>
      </c>
      <c r="D3" s="4">
        <v>210</v>
      </c>
      <c r="E3" s="5">
        <v>18</v>
      </c>
      <c r="F3" s="5">
        <v>8</v>
      </c>
      <c r="G3" s="5">
        <v>16</v>
      </c>
      <c r="H3" s="6">
        <v>4</v>
      </c>
    </row>
    <row r="4" spans="1:8" x14ac:dyDescent="0.25">
      <c r="A4" s="2" t="s">
        <v>105</v>
      </c>
      <c r="B4" s="7" t="s">
        <v>60</v>
      </c>
      <c r="C4" s="3">
        <v>400</v>
      </c>
      <c r="D4" s="4">
        <v>310</v>
      </c>
      <c r="E4" s="5">
        <v>15</v>
      </c>
      <c r="F4" s="5">
        <v>22</v>
      </c>
      <c r="G4" s="5">
        <v>14</v>
      </c>
      <c r="H4" s="6">
        <v>4</v>
      </c>
    </row>
    <row r="5" spans="1:8" x14ac:dyDescent="0.25">
      <c r="A5" s="2" t="s">
        <v>106</v>
      </c>
      <c r="B5" s="7" t="s">
        <v>52</v>
      </c>
      <c r="C5" s="3">
        <v>950</v>
      </c>
      <c r="D5" s="4">
        <v>540</v>
      </c>
      <c r="E5" s="5">
        <v>15</v>
      </c>
      <c r="F5" s="5">
        <v>38</v>
      </c>
      <c r="G5" s="5">
        <v>28</v>
      </c>
      <c r="H5" s="6">
        <v>4</v>
      </c>
    </row>
    <row r="6" spans="1:8" x14ac:dyDescent="0.25">
      <c r="A6" s="2" t="s">
        <v>107</v>
      </c>
      <c r="B6" s="7" t="s">
        <v>18</v>
      </c>
      <c r="C6" s="3">
        <v>1700</v>
      </c>
      <c r="D6" s="4">
        <v>380</v>
      </c>
      <c r="E6" s="5">
        <v>12</v>
      </c>
      <c r="F6" s="5">
        <v>22</v>
      </c>
      <c r="G6" s="5">
        <v>32</v>
      </c>
      <c r="H6" s="6">
        <v>4</v>
      </c>
    </row>
    <row r="7" spans="1:8" x14ac:dyDescent="0.25">
      <c r="C7" s="16"/>
      <c r="D7" s="17"/>
      <c r="E7" s="18"/>
      <c r="F7" s="18"/>
      <c r="G7" s="18"/>
      <c r="H7" s="19"/>
    </row>
    <row r="8" spans="1:8" x14ac:dyDescent="0.25">
      <c r="A8" s="20" t="s">
        <v>108</v>
      </c>
      <c r="B8" s="10"/>
      <c r="C8" s="21">
        <f t="shared" ref="C8:H8" si="0">SUM(C2:C6)</f>
        <v>4600</v>
      </c>
      <c r="D8" s="22">
        <f t="shared" si="0"/>
        <v>1720</v>
      </c>
      <c r="E8" s="23">
        <f t="shared" si="0"/>
        <v>70</v>
      </c>
      <c r="F8" s="23">
        <f t="shared" si="0"/>
        <v>112</v>
      </c>
      <c r="G8" s="23">
        <f t="shared" si="0"/>
        <v>98</v>
      </c>
      <c r="H8" s="24">
        <f t="shared" si="0"/>
        <v>20</v>
      </c>
    </row>
    <row r="10" spans="1:8" x14ac:dyDescent="0.25">
      <c r="A10" s="9" t="s">
        <v>112</v>
      </c>
    </row>
    <row r="11" spans="1:8" x14ac:dyDescent="0.25">
      <c r="B11" t="s">
        <v>98</v>
      </c>
      <c r="C11" s="17">
        <v>2100</v>
      </c>
      <c r="D11" t="s">
        <v>113</v>
      </c>
      <c r="E11" s="17">
        <f>D8</f>
        <v>1720</v>
      </c>
    </row>
    <row r="12" spans="1:8" x14ac:dyDescent="0.25">
      <c r="B12" t="s">
        <v>99</v>
      </c>
      <c r="C12" s="18">
        <v>70</v>
      </c>
      <c r="D12" t="s">
        <v>113</v>
      </c>
      <c r="E12" s="18">
        <f>E8</f>
        <v>70</v>
      </c>
    </row>
    <row r="13" spans="1:8" x14ac:dyDescent="0.25">
      <c r="B13" t="s">
        <v>100</v>
      </c>
      <c r="C13" s="18">
        <v>180</v>
      </c>
      <c r="D13" t="s">
        <v>113</v>
      </c>
      <c r="E13" s="18">
        <f>F8</f>
        <v>112</v>
      </c>
    </row>
    <row r="14" spans="1:8" x14ac:dyDescent="0.25">
      <c r="B14" t="s">
        <v>101</v>
      </c>
      <c r="C14" s="18">
        <v>200</v>
      </c>
      <c r="D14" t="s">
        <v>113</v>
      </c>
      <c r="E14" s="18">
        <f>G8</f>
        <v>98</v>
      </c>
    </row>
    <row r="16" spans="1:8" x14ac:dyDescent="0.25">
      <c r="B16" t="s">
        <v>114</v>
      </c>
      <c r="C16" t="str">
        <f>IF(AND(E11&lt;=C11,E12&lt;=C12,E13&lt;=C13,E14&lt;=C14),"IGEN","NEM")</f>
        <v>IGEN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16"/>
  <sheetViews>
    <sheetView workbookViewId="0">
      <pane ySplit="3" topLeftCell="A4" activePane="bottomLeft" state="frozen"/>
      <selection pane="bottomLeft" sqref="A1:L26"/>
    </sheetView>
  </sheetViews>
  <sheetFormatPr defaultRowHeight="15" x14ac:dyDescent="0.25"/>
  <cols>
    <col min="1" max="1" width="12" customWidth="1"/>
    <col min="2" max="2" width="34" customWidth="1"/>
    <col min="3" max="8" width="16" customWidth="1"/>
  </cols>
  <sheetData>
    <row r="1" spans="1:8" x14ac:dyDescent="0.25">
      <c r="A1" s="1" t="s">
        <v>97</v>
      </c>
      <c r="B1" s="1" t="s">
        <v>96</v>
      </c>
      <c r="C1" s="1" t="s">
        <v>110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111</v>
      </c>
    </row>
    <row r="2" spans="1:8" x14ac:dyDescent="0.25">
      <c r="A2" s="2" t="s">
        <v>103</v>
      </c>
      <c r="B2" s="7" t="s">
        <v>20</v>
      </c>
      <c r="C2" s="3">
        <v>400</v>
      </c>
      <c r="D2" s="4">
        <v>550</v>
      </c>
      <c r="E2" s="5">
        <v>72</v>
      </c>
      <c r="F2" s="5">
        <v>18</v>
      </c>
      <c r="G2" s="5">
        <v>20</v>
      </c>
      <c r="H2" s="6">
        <v>4</v>
      </c>
    </row>
    <row r="3" spans="1:8" x14ac:dyDescent="0.25">
      <c r="A3" s="2" t="s">
        <v>104</v>
      </c>
      <c r="B3" s="7" t="s">
        <v>60</v>
      </c>
      <c r="C3" s="3">
        <v>400</v>
      </c>
      <c r="D3" s="4">
        <v>310</v>
      </c>
      <c r="E3" s="5">
        <v>15</v>
      </c>
      <c r="F3" s="5">
        <v>22</v>
      </c>
      <c r="G3" s="5">
        <v>14</v>
      </c>
      <c r="H3" s="6">
        <v>4</v>
      </c>
    </row>
    <row r="4" spans="1:8" x14ac:dyDescent="0.25">
      <c r="A4" s="2" t="s">
        <v>105</v>
      </c>
      <c r="B4" s="7" t="s">
        <v>46</v>
      </c>
      <c r="C4" s="3">
        <v>350</v>
      </c>
      <c r="D4" s="4">
        <v>320</v>
      </c>
      <c r="E4" s="5">
        <v>42</v>
      </c>
      <c r="F4" s="5">
        <v>10</v>
      </c>
      <c r="G4" s="5">
        <v>14</v>
      </c>
      <c r="H4" s="6">
        <v>4</v>
      </c>
    </row>
    <row r="5" spans="1:8" x14ac:dyDescent="0.25">
      <c r="A5" s="2" t="s">
        <v>106</v>
      </c>
      <c r="B5" s="7" t="s">
        <v>14</v>
      </c>
      <c r="C5" s="3">
        <v>500</v>
      </c>
      <c r="D5" s="4">
        <v>410</v>
      </c>
      <c r="E5" s="5">
        <v>38</v>
      </c>
      <c r="F5" s="5">
        <v>18</v>
      </c>
      <c r="G5" s="5">
        <v>22</v>
      </c>
      <c r="H5" s="6">
        <v>4</v>
      </c>
    </row>
    <row r="6" spans="1:8" x14ac:dyDescent="0.25">
      <c r="A6" s="2" t="s">
        <v>107</v>
      </c>
      <c r="B6" s="7" t="s">
        <v>60</v>
      </c>
      <c r="C6" s="3">
        <v>400</v>
      </c>
      <c r="D6" s="4">
        <v>310</v>
      </c>
      <c r="E6" s="5">
        <v>15</v>
      </c>
      <c r="F6" s="5">
        <v>22</v>
      </c>
      <c r="G6" s="5">
        <v>14</v>
      </c>
      <c r="H6" s="6">
        <v>4</v>
      </c>
    </row>
    <row r="7" spans="1:8" x14ac:dyDescent="0.25">
      <c r="C7" s="16"/>
      <c r="D7" s="17"/>
      <c r="E7" s="18"/>
      <c r="F7" s="18"/>
      <c r="G7" s="18"/>
      <c r="H7" s="19"/>
    </row>
    <row r="8" spans="1:8" x14ac:dyDescent="0.25">
      <c r="A8" s="20" t="s">
        <v>108</v>
      </c>
      <c r="B8" s="10"/>
      <c r="C8" s="21">
        <f t="shared" ref="C8:H8" si="0">SUM(C2:C6)</f>
        <v>2050</v>
      </c>
      <c r="D8" s="22">
        <f t="shared" si="0"/>
        <v>1900</v>
      </c>
      <c r="E8" s="23">
        <f t="shared" si="0"/>
        <v>182</v>
      </c>
      <c r="F8" s="23">
        <f t="shared" si="0"/>
        <v>90</v>
      </c>
      <c r="G8" s="23">
        <f t="shared" si="0"/>
        <v>84</v>
      </c>
      <c r="H8" s="24">
        <f t="shared" si="0"/>
        <v>20</v>
      </c>
    </row>
    <row r="10" spans="1:8" x14ac:dyDescent="0.25">
      <c r="A10" s="9" t="s">
        <v>112</v>
      </c>
    </row>
    <row r="11" spans="1:8" x14ac:dyDescent="0.25">
      <c r="B11" t="s">
        <v>98</v>
      </c>
      <c r="C11" s="17">
        <v>2000</v>
      </c>
      <c r="D11" t="s">
        <v>113</v>
      </c>
      <c r="E11" s="17">
        <f>D8</f>
        <v>1900</v>
      </c>
    </row>
    <row r="12" spans="1:8" x14ac:dyDescent="0.25">
      <c r="B12" t="s">
        <v>99</v>
      </c>
      <c r="C12" s="18">
        <v>200</v>
      </c>
      <c r="D12" t="s">
        <v>113</v>
      </c>
      <c r="E12" s="18">
        <f>E8</f>
        <v>182</v>
      </c>
    </row>
    <row r="13" spans="1:8" x14ac:dyDescent="0.25">
      <c r="B13" t="s">
        <v>100</v>
      </c>
      <c r="C13" s="18">
        <v>150</v>
      </c>
      <c r="D13" t="s">
        <v>113</v>
      </c>
      <c r="E13" s="18">
        <f>F8</f>
        <v>90</v>
      </c>
    </row>
    <row r="14" spans="1:8" x14ac:dyDescent="0.25">
      <c r="B14" t="s">
        <v>101</v>
      </c>
      <c r="C14" s="18">
        <v>180</v>
      </c>
      <c r="D14" t="s">
        <v>113</v>
      </c>
      <c r="E14" s="18">
        <f>G8</f>
        <v>84</v>
      </c>
    </row>
    <row r="16" spans="1:8" x14ac:dyDescent="0.25">
      <c r="B16" t="s">
        <v>114</v>
      </c>
      <c r="C16" t="str">
        <f>IF(AND(E11&lt;=C11,E12&lt;=C12,E13&lt;=C13,E14&lt;=C14),"IGEN","NEM")</f>
        <v>IGEN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16"/>
  <sheetViews>
    <sheetView workbookViewId="0">
      <pane ySplit="3" topLeftCell="A4" activePane="bottomLeft" state="frozen"/>
      <selection pane="bottomLeft" sqref="A1:K21"/>
    </sheetView>
  </sheetViews>
  <sheetFormatPr defaultRowHeight="15" x14ac:dyDescent="0.25"/>
  <cols>
    <col min="1" max="1" width="12" customWidth="1"/>
    <col min="2" max="2" width="34" customWidth="1"/>
    <col min="3" max="8" width="16" customWidth="1"/>
  </cols>
  <sheetData>
    <row r="1" spans="1:8" x14ac:dyDescent="0.25">
      <c r="A1" s="1" t="s">
        <v>97</v>
      </c>
      <c r="B1" s="1" t="s">
        <v>96</v>
      </c>
      <c r="C1" s="1" t="s">
        <v>110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111</v>
      </c>
    </row>
    <row r="2" spans="1:8" x14ac:dyDescent="0.25">
      <c r="A2" s="2" t="s">
        <v>103</v>
      </c>
      <c r="B2" s="7" t="s">
        <v>14</v>
      </c>
      <c r="C2" s="3">
        <v>500</v>
      </c>
      <c r="D2" s="4">
        <v>410</v>
      </c>
      <c r="E2" s="5">
        <v>38</v>
      </c>
      <c r="F2" s="5">
        <v>18</v>
      </c>
      <c r="G2" s="5">
        <v>22</v>
      </c>
      <c r="H2" s="6">
        <v>4</v>
      </c>
    </row>
    <row r="3" spans="1:8" x14ac:dyDescent="0.25">
      <c r="A3" s="2" t="s">
        <v>104</v>
      </c>
      <c r="B3" s="7" t="s">
        <v>64</v>
      </c>
      <c r="C3" s="3">
        <v>650</v>
      </c>
      <c r="D3" s="4">
        <v>590</v>
      </c>
      <c r="E3" s="5">
        <v>85</v>
      </c>
      <c r="F3" s="5">
        <v>18</v>
      </c>
      <c r="G3" s="5">
        <v>16</v>
      </c>
      <c r="H3" s="6">
        <v>4</v>
      </c>
    </row>
    <row r="4" spans="1:8" x14ac:dyDescent="0.25">
      <c r="A4" s="2" t="s">
        <v>105</v>
      </c>
      <c r="B4" s="7" t="s">
        <v>50</v>
      </c>
      <c r="C4" s="3">
        <v>650</v>
      </c>
      <c r="D4" s="4">
        <v>210</v>
      </c>
      <c r="E4" s="5">
        <v>18</v>
      </c>
      <c r="F4" s="5">
        <v>8</v>
      </c>
      <c r="G4" s="5">
        <v>16</v>
      </c>
      <c r="H4" s="6">
        <v>4</v>
      </c>
    </row>
    <row r="5" spans="1:8" x14ac:dyDescent="0.25">
      <c r="A5" s="2" t="s">
        <v>106</v>
      </c>
      <c r="B5" s="7" t="s">
        <v>46</v>
      </c>
      <c r="C5" s="3">
        <v>350</v>
      </c>
      <c r="D5" s="4">
        <v>320</v>
      </c>
      <c r="E5" s="5">
        <v>42</v>
      </c>
      <c r="F5" s="5">
        <v>10</v>
      </c>
      <c r="G5" s="5">
        <v>14</v>
      </c>
      <c r="H5" s="6">
        <v>4</v>
      </c>
    </row>
    <row r="6" spans="1:8" x14ac:dyDescent="0.25">
      <c r="A6" s="2" t="s">
        <v>107</v>
      </c>
      <c r="B6" s="7" t="s">
        <v>60</v>
      </c>
      <c r="C6" s="3">
        <v>400</v>
      </c>
      <c r="D6" s="4">
        <v>310</v>
      </c>
      <c r="E6" s="5">
        <v>15</v>
      </c>
      <c r="F6" s="5">
        <v>22</v>
      </c>
      <c r="G6" s="5">
        <v>14</v>
      </c>
      <c r="H6" s="6">
        <v>4</v>
      </c>
    </row>
    <row r="7" spans="1:8" x14ac:dyDescent="0.25">
      <c r="C7" s="16"/>
      <c r="D7" s="17"/>
      <c r="E7" s="18"/>
      <c r="F7" s="18"/>
      <c r="G7" s="18"/>
      <c r="H7" s="19"/>
    </row>
    <row r="8" spans="1:8" x14ac:dyDescent="0.25">
      <c r="A8" s="20" t="s">
        <v>108</v>
      </c>
      <c r="B8" s="10"/>
      <c r="C8" s="21">
        <f t="shared" ref="C8:H8" si="0">SUM(C2:C6)</f>
        <v>2550</v>
      </c>
      <c r="D8" s="22">
        <f t="shared" si="0"/>
        <v>1840</v>
      </c>
      <c r="E8" s="23">
        <f t="shared" si="0"/>
        <v>198</v>
      </c>
      <c r="F8" s="23">
        <f t="shared" si="0"/>
        <v>76</v>
      </c>
      <c r="G8" s="23">
        <f t="shared" si="0"/>
        <v>82</v>
      </c>
      <c r="H8" s="24">
        <f t="shared" si="0"/>
        <v>20</v>
      </c>
    </row>
    <row r="10" spans="1:8" x14ac:dyDescent="0.25">
      <c r="A10" s="9" t="s">
        <v>112</v>
      </c>
    </row>
    <row r="11" spans="1:8" x14ac:dyDescent="0.25">
      <c r="B11" t="s">
        <v>98</v>
      </c>
      <c r="C11" s="17">
        <v>2000</v>
      </c>
      <c r="D11" t="s">
        <v>113</v>
      </c>
      <c r="E11" s="17">
        <f>D8</f>
        <v>1840</v>
      </c>
    </row>
    <row r="12" spans="1:8" x14ac:dyDescent="0.25">
      <c r="B12" t="s">
        <v>99</v>
      </c>
      <c r="C12" s="18">
        <v>200</v>
      </c>
      <c r="D12" t="s">
        <v>113</v>
      </c>
      <c r="E12" s="18">
        <f>E8</f>
        <v>198</v>
      </c>
    </row>
    <row r="13" spans="1:8" x14ac:dyDescent="0.25">
      <c r="B13" t="s">
        <v>100</v>
      </c>
      <c r="C13" s="18">
        <v>150</v>
      </c>
      <c r="D13" t="s">
        <v>113</v>
      </c>
      <c r="E13" s="18">
        <f>F8</f>
        <v>76</v>
      </c>
    </row>
    <row r="14" spans="1:8" x14ac:dyDescent="0.25">
      <c r="B14" t="s">
        <v>101</v>
      </c>
      <c r="C14" s="18">
        <v>180</v>
      </c>
      <c r="D14" t="s">
        <v>113</v>
      </c>
      <c r="E14" s="18">
        <f>G8</f>
        <v>82</v>
      </c>
    </row>
    <row r="16" spans="1:8" x14ac:dyDescent="0.25">
      <c r="B16" t="s">
        <v>114</v>
      </c>
      <c r="C16" t="str">
        <f>IF(AND(E11&lt;=C11,E12&lt;=C12,E13&lt;=C13,E14&lt;=C14),"IGEN","NEM")</f>
        <v>IGEN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16"/>
  <sheetViews>
    <sheetView workbookViewId="0">
      <pane ySplit="3" topLeftCell="A4" activePane="bottomLeft" state="frozen"/>
      <selection pane="bottomLeft" sqref="A1:I27"/>
    </sheetView>
  </sheetViews>
  <sheetFormatPr defaultRowHeight="15" x14ac:dyDescent="0.25"/>
  <cols>
    <col min="1" max="1" width="12" customWidth="1"/>
    <col min="2" max="2" width="34" customWidth="1"/>
    <col min="3" max="8" width="16" customWidth="1"/>
  </cols>
  <sheetData>
    <row r="1" spans="1:8" x14ac:dyDescent="0.25">
      <c r="A1" s="1" t="s">
        <v>97</v>
      </c>
      <c r="B1" s="1" t="s">
        <v>96</v>
      </c>
      <c r="C1" s="1" t="s">
        <v>110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111</v>
      </c>
    </row>
    <row r="2" spans="1:8" x14ac:dyDescent="0.25">
      <c r="A2" s="2" t="s">
        <v>103</v>
      </c>
      <c r="B2" s="7" t="s">
        <v>40</v>
      </c>
      <c r="C2" s="3">
        <v>900</v>
      </c>
      <c r="D2" s="4">
        <v>280</v>
      </c>
      <c r="E2" s="5">
        <v>10</v>
      </c>
      <c r="F2" s="5">
        <v>22</v>
      </c>
      <c r="G2" s="5">
        <v>8</v>
      </c>
      <c r="H2" s="6">
        <v>4</v>
      </c>
    </row>
    <row r="3" spans="1:8" x14ac:dyDescent="0.25">
      <c r="A3" s="2" t="s">
        <v>104</v>
      </c>
      <c r="B3" s="7" t="s">
        <v>60</v>
      </c>
      <c r="C3" s="3">
        <v>400</v>
      </c>
      <c r="D3" s="4">
        <v>310</v>
      </c>
      <c r="E3" s="5">
        <v>15</v>
      </c>
      <c r="F3" s="5">
        <v>22</v>
      </c>
      <c r="G3" s="5">
        <v>14</v>
      </c>
      <c r="H3" s="6">
        <v>4</v>
      </c>
    </row>
    <row r="4" spans="1:8" x14ac:dyDescent="0.25">
      <c r="A4" s="2" t="s">
        <v>105</v>
      </c>
      <c r="B4" s="7" t="s">
        <v>40</v>
      </c>
      <c r="C4" s="3">
        <v>900</v>
      </c>
      <c r="D4" s="4">
        <v>280</v>
      </c>
      <c r="E4" s="5">
        <v>10</v>
      </c>
      <c r="F4" s="5">
        <v>22</v>
      </c>
      <c r="G4" s="5">
        <v>8</v>
      </c>
      <c r="H4" s="6">
        <v>4</v>
      </c>
    </row>
    <row r="5" spans="1:8" x14ac:dyDescent="0.25">
      <c r="A5" s="2" t="s">
        <v>106</v>
      </c>
      <c r="B5" s="7" t="s">
        <v>24</v>
      </c>
      <c r="C5" s="3">
        <v>450</v>
      </c>
      <c r="D5" s="4">
        <v>180</v>
      </c>
      <c r="E5" s="5">
        <v>25</v>
      </c>
      <c r="F5" s="5">
        <v>6</v>
      </c>
      <c r="G5" s="5">
        <v>5</v>
      </c>
      <c r="H5" s="6">
        <v>4</v>
      </c>
    </row>
    <row r="6" spans="1:8" x14ac:dyDescent="0.25">
      <c r="A6" s="2" t="s">
        <v>107</v>
      </c>
      <c r="B6" s="7" t="s">
        <v>14</v>
      </c>
      <c r="C6" s="3">
        <v>500</v>
      </c>
      <c r="D6" s="4">
        <v>410</v>
      </c>
      <c r="E6" s="5">
        <v>38</v>
      </c>
      <c r="F6" s="5">
        <v>18</v>
      </c>
      <c r="G6" s="5">
        <v>22</v>
      </c>
      <c r="H6" s="6">
        <v>4</v>
      </c>
    </row>
    <row r="7" spans="1:8" x14ac:dyDescent="0.25">
      <c r="C7" s="16"/>
      <c r="D7" s="17"/>
      <c r="E7" s="18"/>
      <c r="F7" s="18"/>
      <c r="G7" s="18"/>
      <c r="H7" s="19"/>
    </row>
    <row r="8" spans="1:8" x14ac:dyDescent="0.25">
      <c r="A8" s="20" t="s">
        <v>108</v>
      </c>
      <c r="B8" s="10"/>
      <c r="C8" s="21">
        <f t="shared" ref="C8:H8" si="0">SUM(C2:C6)</f>
        <v>3150</v>
      </c>
      <c r="D8" s="22">
        <f t="shared" si="0"/>
        <v>1460</v>
      </c>
      <c r="E8" s="23">
        <f t="shared" si="0"/>
        <v>98</v>
      </c>
      <c r="F8" s="23">
        <f t="shared" si="0"/>
        <v>90</v>
      </c>
      <c r="G8" s="23">
        <f t="shared" si="0"/>
        <v>57</v>
      </c>
      <c r="H8" s="24">
        <f t="shared" si="0"/>
        <v>20</v>
      </c>
    </row>
    <row r="10" spans="1:8" x14ac:dyDescent="0.25">
      <c r="A10" s="9" t="s">
        <v>112</v>
      </c>
    </row>
    <row r="11" spans="1:8" x14ac:dyDescent="0.25">
      <c r="B11" t="s">
        <v>98</v>
      </c>
      <c r="C11" s="17">
        <v>1500</v>
      </c>
      <c r="D11" t="s">
        <v>113</v>
      </c>
      <c r="E11" s="17">
        <f>D8</f>
        <v>1460</v>
      </c>
    </row>
    <row r="12" spans="1:8" x14ac:dyDescent="0.25">
      <c r="B12" t="s">
        <v>99</v>
      </c>
      <c r="C12" s="18">
        <v>100</v>
      </c>
      <c r="D12" t="s">
        <v>113</v>
      </c>
      <c r="E12" s="18">
        <f>E8</f>
        <v>98</v>
      </c>
    </row>
    <row r="13" spans="1:8" x14ac:dyDescent="0.25">
      <c r="B13" t="s">
        <v>100</v>
      </c>
      <c r="C13" s="18">
        <v>200</v>
      </c>
      <c r="D13" t="s">
        <v>113</v>
      </c>
      <c r="E13" s="18">
        <f>F8</f>
        <v>90</v>
      </c>
    </row>
    <row r="14" spans="1:8" x14ac:dyDescent="0.25">
      <c r="B14" t="s">
        <v>101</v>
      </c>
      <c r="C14" s="18">
        <v>100</v>
      </c>
      <c r="D14" t="s">
        <v>113</v>
      </c>
      <c r="E14" s="18">
        <f>G8</f>
        <v>57</v>
      </c>
    </row>
    <row r="16" spans="1:8" x14ac:dyDescent="0.25">
      <c r="B16" t="s">
        <v>114</v>
      </c>
      <c r="C16" t="str">
        <f>IF(AND(E11&lt;=C11,E12&lt;=C12,E13&lt;=C13,E14&lt;=C14),"IGEN","NEM")</f>
        <v>IGEN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16"/>
  <sheetViews>
    <sheetView workbookViewId="0">
      <pane ySplit="3" topLeftCell="A4" activePane="bottomLeft" state="frozen"/>
      <selection pane="bottomLeft" sqref="A1:L24"/>
    </sheetView>
  </sheetViews>
  <sheetFormatPr defaultRowHeight="15" x14ac:dyDescent="0.25"/>
  <cols>
    <col min="1" max="1" width="12" customWidth="1"/>
    <col min="2" max="2" width="34" customWidth="1"/>
    <col min="3" max="8" width="16" customWidth="1"/>
  </cols>
  <sheetData>
    <row r="1" spans="1:8" x14ac:dyDescent="0.25">
      <c r="A1" s="1" t="s">
        <v>97</v>
      </c>
      <c r="B1" s="1" t="s">
        <v>96</v>
      </c>
      <c r="C1" s="1" t="s">
        <v>110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111</v>
      </c>
    </row>
    <row r="2" spans="1:8" x14ac:dyDescent="0.25">
      <c r="A2" s="2" t="s">
        <v>103</v>
      </c>
      <c r="B2" s="7" t="s">
        <v>40</v>
      </c>
      <c r="C2" s="3">
        <v>900</v>
      </c>
      <c r="D2" s="4">
        <v>280</v>
      </c>
      <c r="E2" s="5">
        <v>10</v>
      </c>
      <c r="F2" s="5">
        <v>22</v>
      </c>
      <c r="G2" s="5">
        <v>8</v>
      </c>
      <c r="H2" s="6">
        <v>4</v>
      </c>
    </row>
    <row r="3" spans="1:8" x14ac:dyDescent="0.25">
      <c r="A3" s="2" t="s">
        <v>104</v>
      </c>
      <c r="B3" s="7" t="s">
        <v>24</v>
      </c>
      <c r="C3" s="3">
        <v>450</v>
      </c>
      <c r="D3" s="4">
        <v>180</v>
      </c>
      <c r="E3" s="5">
        <v>25</v>
      </c>
      <c r="F3" s="5">
        <v>6</v>
      </c>
      <c r="G3" s="5">
        <v>5</v>
      </c>
      <c r="H3" s="6">
        <v>4</v>
      </c>
    </row>
    <row r="4" spans="1:8" x14ac:dyDescent="0.25">
      <c r="A4" s="2" t="s">
        <v>105</v>
      </c>
      <c r="B4" s="7" t="s">
        <v>60</v>
      </c>
      <c r="C4" s="3">
        <v>400</v>
      </c>
      <c r="D4" s="4">
        <v>310</v>
      </c>
      <c r="E4" s="5">
        <v>15</v>
      </c>
      <c r="F4" s="5">
        <v>22</v>
      </c>
      <c r="G4" s="5">
        <v>14</v>
      </c>
      <c r="H4" s="6">
        <v>4</v>
      </c>
    </row>
    <row r="5" spans="1:8" x14ac:dyDescent="0.25">
      <c r="A5" s="2" t="s">
        <v>106</v>
      </c>
      <c r="B5" s="7" t="s">
        <v>60</v>
      </c>
      <c r="C5" s="3">
        <v>400</v>
      </c>
      <c r="D5" s="4">
        <v>310</v>
      </c>
      <c r="E5" s="5">
        <v>15</v>
      </c>
      <c r="F5" s="5">
        <v>22</v>
      </c>
      <c r="G5" s="5">
        <v>14</v>
      </c>
      <c r="H5" s="6">
        <v>4</v>
      </c>
    </row>
    <row r="6" spans="1:8" x14ac:dyDescent="0.25">
      <c r="A6" s="2" t="s">
        <v>107</v>
      </c>
      <c r="B6" s="7" t="s">
        <v>42</v>
      </c>
      <c r="C6" s="3">
        <v>1050</v>
      </c>
      <c r="D6" s="4">
        <v>420</v>
      </c>
      <c r="E6" s="5">
        <v>15</v>
      </c>
      <c r="F6" s="5">
        <v>25</v>
      </c>
      <c r="G6" s="5">
        <v>34</v>
      </c>
      <c r="H6" s="6">
        <v>4</v>
      </c>
    </row>
    <row r="7" spans="1:8" x14ac:dyDescent="0.25">
      <c r="C7" s="16"/>
      <c r="D7" s="17"/>
      <c r="E7" s="18"/>
      <c r="F7" s="18"/>
      <c r="G7" s="18"/>
      <c r="H7" s="19"/>
    </row>
    <row r="8" spans="1:8" x14ac:dyDescent="0.25">
      <c r="A8" s="20" t="s">
        <v>108</v>
      </c>
      <c r="B8" s="10"/>
      <c r="C8" s="21">
        <f t="shared" ref="C8:H8" si="0">SUM(C2:C6)</f>
        <v>3200</v>
      </c>
      <c r="D8" s="22">
        <f t="shared" si="0"/>
        <v>1500</v>
      </c>
      <c r="E8" s="23">
        <f t="shared" si="0"/>
        <v>80</v>
      </c>
      <c r="F8" s="23">
        <f t="shared" si="0"/>
        <v>97</v>
      </c>
      <c r="G8" s="23">
        <f t="shared" si="0"/>
        <v>75</v>
      </c>
      <c r="H8" s="24">
        <f t="shared" si="0"/>
        <v>20</v>
      </c>
    </row>
    <row r="10" spans="1:8" x14ac:dyDescent="0.25">
      <c r="A10" s="9" t="s">
        <v>112</v>
      </c>
    </row>
    <row r="11" spans="1:8" x14ac:dyDescent="0.25">
      <c r="B11" t="s">
        <v>98</v>
      </c>
      <c r="C11" s="17">
        <v>1500</v>
      </c>
      <c r="D11" t="s">
        <v>113</v>
      </c>
      <c r="E11" s="17">
        <f>D8</f>
        <v>1500</v>
      </c>
    </row>
    <row r="12" spans="1:8" x14ac:dyDescent="0.25">
      <c r="B12" t="s">
        <v>99</v>
      </c>
      <c r="C12" s="18">
        <v>100</v>
      </c>
      <c r="D12" t="s">
        <v>113</v>
      </c>
      <c r="E12" s="18">
        <f>E8</f>
        <v>80</v>
      </c>
    </row>
    <row r="13" spans="1:8" x14ac:dyDescent="0.25">
      <c r="B13" t="s">
        <v>100</v>
      </c>
      <c r="C13" s="18">
        <v>200</v>
      </c>
      <c r="D13" t="s">
        <v>113</v>
      </c>
      <c r="E13" s="18">
        <f>F8</f>
        <v>97</v>
      </c>
    </row>
    <row r="14" spans="1:8" x14ac:dyDescent="0.25">
      <c r="B14" t="s">
        <v>101</v>
      </c>
      <c r="C14" s="18">
        <v>100</v>
      </c>
      <c r="D14" t="s">
        <v>113</v>
      </c>
      <c r="E14" s="18">
        <f>G8</f>
        <v>75</v>
      </c>
    </row>
    <row r="16" spans="1:8" x14ac:dyDescent="0.25">
      <c r="B16" t="s">
        <v>114</v>
      </c>
      <c r="C16" t="str">
        <f>IF(AND(E11&lt;=C11,E12&lt;=C12,E13&lt;=C13,E14&lt;=C14),"IGEN","NEM")</f>
        <v>IGEN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16"/>
  <sheetViews>
    <sheetView workbookViewId="0">
      <pane ySplit="3" topLeftCell="A4" activePane="bottomLeft" state="frozen"/>
      <selection pane="bottomLeft" sqref="A1:N29"/>
    </sheetView>
  </sheetViews>
  <sheetFormatPr defaultRowHeight="15" x14ac:dyDescent="0.25"/>
  <cols>
    <col min="1" max="1" width="12" customWidth="1"/>
    <col min="2" max="2" width="34" customWidth="1"/>
    <col min="3" max="8" width="16" customWidth="1"/>
  </cols>
  <sheetData>
    <row r="1" spans="1:8" x14ac:dyDescent="0.25">
      <c r="A1" s="1" t="s">
        <v>97</v>
      </c>
      <c r="B1" s="1" t="s">
        <v>96</v>
      </c>
      <c r="C1" s="1" t="s">
        <v>110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111</v>
      </c>
    </row>
    <row r="2" spans="1:8" x14ac:dyDescent="0.25">
      <c r="A2" s="2" t="s">
        <v>103</v>
      </c>
      <c r="B2" s="7" t="s">
        <v>24</v>
      </c>
      <c r="C2" s="3">
        <v>450</v>
      </c>
      <c r="D2" s="4">
        <v>180</v>
      </c>
      <c r="E2" s="5">
        <v>25</v>
      </c>
      <c r="F2" s="5">
        <v>6</v>
      </c>
      <c r="G2" s="5">
        <v>5</v>
      </c>
      <c r="H2" s="6">
        <v>4</v>
      </c>
    </row>
    <row r="3" spans="1:8" x14ac:dyDescent="0.25">
      <c r="A3" s="2" t="s">
        <v>104</v>
      </c>
      <c r="B3" s="7" t="s">
        <v>20</v>
      </c>
      <c r="C3" s="3">
        <v>400</v>
      </c>
      <c r="D3" s="4">
        <v>550</v>
      </c>
      <c r="E3" s="5">
        <v>72</v>
      </c>
      <c r="F3" s="5">
        <v>18</v>
      </c>
      <c r="G3" s="5">
        <v>20</v>
      </c>
      <c r="H3" s="6">
        <v>4</v>
      </c>
    </row>
    <row r="4" spans="1:8" x14ac:dyDescent="0.25">
      <c r="A4" s="2" t="s">
        <v>105</v>
      </c>
      <c r="B4" s="7" t="s">
        <v>46</v>
      </c>
      <c r="C4" s="3">
        <v>350</v>
      </c>
      <c r="D4" s="4">
        <v>320</v>
      </c>
      <c r="E4" s="5">
        <v>42</v>
      </c>
      <c r="F4" s="5">
        <v>10</v>
      </c>
      <c r="G4" s="5">
        <v>14</v>
      </c>
      <c r="H4" s="6">
        <v>4</v>
      </c>
    </row>
    <row r="5" spans="1:8" x14ac:dyDescent="0.25">
      <c r="A5" s="2" t="s">
        <v>106</v>
      </c>
      <c r="B5" s="7" t="s">
        <v>46</v>
      </c>
      <c r="C5" s="3">
        <v>350</v>
      </c>
      <c r="D5" s="4">
        <v>320</v>
      </c>
      <c r="E5" s="5">
        <v>42</v>
      </c>
      <c r="F5" s="5">
        <v>10</v>
      </c>
      <c r="G5" s="5">
        <v>14</v>
      </c>
      <c r="H5" s="6">
        <v>4</v>
      </c>
    </row>
    <row r="6" spans="1:8" x14ac:dyDescent="0.25">
      <c r="A6" s="2" t="s">
        <v>107</v>
      </c>
      <c r="B6" s="7" t="s">
        <v>20</v>
      </c>
      <c r="C6" s="3">
        <v>400</v>
      </c>
      <c r="D6" s="4">
        <v>550</v>
      </c>
      <c r="E6" s="5">
        <v>72</v>
      </c>
      <c r="F6" s="5">
        <v>18</v>
      </c>
      <c r="G6" s="5">
        <v>20</v>
      </c>
      <c r="H6" s="6">
        <v>4</v>
      </c>
    </row>
    <row r="7" spans="1:8" x14ac:dyDescent="0.25">
      <c r="C7" s="16"/>
      <c r="D7" s="17"/>
      <c r="E7" s="18"/>
      <c r="F7" s="18"/>
      <c r="G7" s="18"/>
      <c r="H7" s="19"/>
    </row>
    <row r="8" spans="1:8" x14ac:dyDescent="0.25">
      <c r="A8" s="20" t="s">
        <v>108</v>
      </c>
      <c r="B8" s="10"/>
      <c r="C8" s="21">
        <f t="shared" ref="C8:H8" si="0">SUM(C2:C6)</f>
        <v>1950</v>
      </c>
      <c r="D8" s="22">
        <f t="shared" si="0"/>
        <v>1920</v>
      </c>
      <c r="E8" s="23">
        <f t="shared" si="0"/>
        <v>253</v>
      </c>
      <c r="F8" s="23">
        <f t="shared" si="0"/>
        <v>62</v>
      </c>
      <c r="G8" s="23">
        <f t="shared" si="0"/>
        <v>73</v>
      </c>
      <c r="H8" s="24">
        <f t="shared" si="0"/>
        <v>20</v>
      </c>
    </row>
    <row r="10" spans="1:8" x14ac:dyDescent="0.25">
      <c r="A10" s="9" t="s">
        <v>112</v>
      </c>
    </row>
    <row r="11" spans="1:8" x14ac:dyDescent="0.25">
      <c r="B11" t="s">
        <v>98</v>
      </c>
      <c r="C11" s="17">
        <v>3500</v>
      </c>
      <c r="D11" t="s">
        <v>113</v>
      </c>
      <c r="E11" s="17">
        <f>D8</f>
        <v>1920</v>
      </c>
    </row>
    <row r="12" spans="1:8" x14ac:dyDescent="0.25">
      <c r="B12" t="s">
        <v>99</v>
      </c>
      <c r="C12" s="18">
        <v>300</v>
      </c>
      <c r="D12" t="s">
        <v>113</v>
      </c>
      <c r="E12" s="18">
        <f>E8</f>
        <v>253</v>
      </c>
    </row>
    <row r="13" spans="1:8" x14ac:dyDescent="0.25">
      <c r="B13" t="s">
        <v>100</v>
      </c>
      <c r="C13" s="18">
        <v>230</v>
      </c>
      <c r="D13" t="s">
        <v>113</v>
      </c>
      <c r="E13" s="18">
        <f>F8</f>
        <v>62</v>
      </c>
    </row>
    <row r="14" spans="1:8" x14ac:dyDescent="0.25">
      <c r="B14" t="s">
        <v>101</v>
      </c>
      <c r="C14" s="18">
        <v>200</v>
      </c>
      <c r="D14" t="s">
        <v>113</v>
      </c>
      <c r="E14" s="18">
        <f>G8</f>
        <v>73</v>
      </c>
    </row>
    <row r="16" spans="1:8" x14ac:dyDescent="0.25">
      <c r="B16" t="s">
        <v>114</v>
      </c>
      <c r="C16" t="str">
        <f>IF(AND(E11&lt;=C11,E12&lt;=C12,E13&lt;=C13,E14&lt;=C14),"IGEN","NEM")</f>
        <v>IGEN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H16"/>
  <sheetViews>
    <sheetView tabSelected="1" workbookViewId="0">
      <pane ySplit="3" topLeftCell="A4" activePane="bottomLeft" state="frozen"/>
      <selection pane="bottomLeft" sqref="A1:M29"/>
    </sheetView>
  </sheetViews>
  <sheetFormatPr defaultRowHeight="15" x14ac:dyDescent="0.25"/>
  <cols>
    <col min="1" max="1" width="12" customWidth="1"/>
    <col min="2" max="2" width="34" customWidth="1"/>
    <col min="3" max="8" width="16" customWidth="1"/>
  </cols>
  <sheetData>
    <row r="1" spans="1:8" x14ac:dyDescent="0.25">
      <c r="A1" s="1" t="s">
        <v>97</v>
      </c>
      <c r="B1" s="1" t="s">
        <v>96</v>
      </c>
      <c r="C1" s="1" t="s">
        <v>110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111</v>
      </c>
    </row>
    <row r="2" spans="1:8" x14ac:dyDescent="0.25">
      <c r="A2" s="2" t="s">
        <v>103</v>
      </c>
      <c r="B2" s="7" t="s">
        <v>20</v>
      </c>
      <c r="C2" s="3">
        <v>400</v>
      </c>
      <c r="D2" s="4">
        <v>550</v>
      </c>
      <c r="E2" s="5">
        <v>72</v>
      </c>
      <c r="F2" s="5">
        <v>18</v>
      </c>
      <c r="G2" s="5">
        <v>20</v>
      </c>
      <c r="H2" s="6">
        <v>4</v>
      </c>
    </row>
    <row r="3" spans="1:8" x14ac:dyDescent="0.25">
      <c r="A3" s="2" t="s">
        <v>104</v>
      </c>
      <c r="B3" s="7" t="s">
        <v>24</v>
      </c>
      <c r="C3" s="3">
        <v>450</v>
      </c>
      <c r="D3" s="4">
        <v>180</v>
      </c>
      <c r="E3" s="5">
        <v>25</v>
      </c>
      <c r="F3" s="5">
        <v>6</v>
      </c>
      <c r="G3" s="5">
        <v>5</v>
      </c>
      <c r="H3" s="6">
        <v>4</v>
      </c>
    </row>
    <row r="4" spans="1:8" x14ac:dyDescent="0.25">
      <c r="A4" s="2" t="s">
        <v>105</v>
      </c>
      <c r="B4" s="7" t="s">
        <v>64</v>
      </c>
      <c r="C4" s="3">
        <v>650</v>
      </c>
      <c r="D4" s="4">
        <v>590</v>
      </c>
      <c r="E4" s="5">
        <v>85</v>
      </c>
      <c r="F4" s="5">
        <v>18</v>
      </c>
      <c r="G4" s="5">
        <v>16</v>
      </c>
      <c r="H4" s="6">
        <v>4</v>
      </c>
    </row>
    <row r="5" spans="1:8" x14ac:dyDescent="0.25">
      <c r="A5" s="2" t="s">
        <v>106</v>
      </c>
      <c r="B5" s="7" t="s">
        <v>56</v>
      </c>
      <c r="C5" s="3">
        <v>800</v>
      </c>
      <c r="D5" s="4">
        <v>460</v>
      </c>
      <c r="E5" s="5">
        <v>42</v>
      </c>
      <c r="F5" s="5">
        <v>20</v>
      </c>
      <c r="G5" s="5">
        <v>24</v>
      </c>
      <c r="H5" s="6">
        <v>4</v>
      </c>
    </row>
    <row r="6" spans="1:8" x14ac:dyDescent="0.25">
      <c r="A6" s="2" t="s">
        <v>107</v>
      </c>
      <c r="B6" s="7" t="s">
        <v>46</v>
      </c>
      <c r="C6" s="3">
        <v>350</v>
      </c>
      <c r="D6" s="4">
        <v>320</v>
      </c>
      <c r="E6" s="5">
        <v>42</v>
      </c>
      <c r="F6" s="5">
        <v>10</v>
      </c>
      <c r="G6" s="5">
        <v>14</v>
      </c>
      <c r="H6" s="6">
        <v>4</v>
      </c>
    </row>
    <row r="7" spans="1:8" x14ac:dyDescent="0.25">
      <c r="C7" s="16"/>
      <c r="D7" s="17"/>
      <c r="E7" s="18"/>
      <c r="F7" s="18"/>
      <c r="G7" s="18"/>
      <c r="H7" s="19"/>
    </row>
    <row r="8" spans="1:8" x14ac:dyDescent="0.25">
      <c r="A8" s="20" t="s">
        <v>108</v>
      </c>
      <c r="B8" s="10"/>
      <c r="C8" s="21">
        <f t="shared" ref="C8:H8" si="0">SUM(C2:C6)</f>
        <v>2650</v>
      </c>
      <c r="D8" s="22">
        <f t="shared" si="0"/>
        <v>2100</v>
      </c>
      <c r="E8" s="23">
        <f t="shared" si="0"/>
        <v>266</v>
      </c>
      <c r="F8" s="23">
        <f t="shared" si="0"/>
        <v>72</v>
      </c>
      <c r="G8" s="23">
        <f t="shared" si="0"/>
        <v>79</v>
      </c>
      <c r="H8" s="24">
        <f t="shared" si="0"/>
        <v>20</v>
      </c>
    </row>
    <row r="10" spans="1:8" x14ac:dyDescent="0.25">
      <c r="A10" s="9" t="s">
        <v>112</v>
      </c>
    </row>
    <row r="11" spans="1:8" x14ac:dyDescent="0.25">
      <c r="B11" t="s">
        <v>98</v>
      </c>
      <c r="C11" s="17">
        <v>3500</v>
      </c>
      <c r="D11" t="s">
        <v>113</v>
      </c>
      <c r="E11" s="17">
        <f>D8</f>
        <v>2100</v>
      </c>
    </row>
    <row r="12" spans="1:8" x14ac:dyDescent="0.25">
      <c r="B12" t="s">
        <v>99</v>
      </c>
      <c r="C12" s="18">
        <v>300</v>
      </c>
      <c r="D12" t="s">
        <v>113</v>
      </c>
      <c r="E12" s="18">
        <f>E8</f>
        <v>266</v>
      </c>
    </row>
    <row r="13" spans="1:8" x14ac:dyDescent="0.25">
      <c r="B13" t="s">
        <v>100</v>
      </c>
      <c r="C13" s="18">
        <v>230</v>
      </c>
      <c r="D13" t="s">
        <v>113</v>
      </c>
      <c r="E13" s="18">
        <f>F8</f>
        <v>72</v>
      </c>
    </row>
    <row r="14" spans="1:8" x14ac:dyDescent="0.25">
      <c r="B14" t="s">
        <v>101</v>
      </c>
      <c r="C14" s="18">
        <v>200</v>
      </c>
      <c r="D14" t="s">
        <v>113</v>
      </c>
      <c r="E14" s="18">
        <f>G8</f>
        <v>79</v>
      </c>
    </row>
    <row r="16" spans="1:8" x14ac:dyDescent="0.25">
      <c r="B16" t="s">
        <v>114</v>
      </c>
      <c r="C16" t="str">
        <f>IF(AND(E11&lt;=C11,E12&lt;=C12,E13&lt;=C13,E14&lt;=C14),"IGEN","NEM")</f>
        <v>IGEN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21</vt:i4>
      </vt:variant>
    </vt:vector>
  </HeadingPairs>
  <TitlesOfParts>
    <vt:vector size="21" baseType="lpstr">
      <vt:lpstr>Etelek</vt:lpstr>
      <vt:lpstr>Kategoriak</vt:lpstr>
      <vt:lpstr>Statisztika</vt:lpstr>
      <vt:lpstr>Menu</vt:lpstr>
      <vt:lpstr>Menu_Eredmeny</vt:lpstr>
      <vt:lpstr>Menu_Szálkásító Pro</vt:lpstr>
      <vt:lpstr>Menu_olcso_Szálkásító Pro</vt:lpstr>
      <vt:lpstr>Menu_Tömegnövelő Hardgainers</vt:lpstr>
      <vt:lpstr>Menu_olcso_Tömegnövelő Hardgain</vt:lpstr>
      <vt:lpstr>Menu_Ketogén Alap</vt:lpstr>
      <vt:lpstr>Menu_olcso_Ketogén Alap</vt:lpstr>
      <vt:lpstr>Menu_Irodai Wellness</vt:lpstr>
      <vt:lpstr>Menu_olcso_Irodai Wellness</vt:lpstr>
      <vt:lpstr>Menu_Low-Carb (Szénhidrátszegén</vt:lpstr>
      <vt:lpstr>Menu_olcso_Low-Carb (Szénhidrát</vt:lpstr>
      <vt:lpstr>Menu_Szívbarát (Low-Fat)</vt:lpstr>
      <vt:lpstr>Menu_olcso_Szívbarát (Low-Fat)</vt:lpstr>
      <vt:lpstr>Menu_Hosszú élet (Longevity)</vt:lpstr>
      <vt:lpstr>Menu_olcso_Hosszú élet (Longevi</vt:lpstr>
      <vt:lpstr>Menu_Hobbi Sportoló</vt:lpstr>
      <vt:lpstr>Menu_olcso_Hobbi Sportoló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D242TAN-18</cp:lastModifiedBy>
  <cp:revision/>
  <dcterms:created xsi:type="dcterms:W3CDTF">2026-02-24T19:57:40Z</dcterms:created>
  <dcterms:modified xsi:type="dcterms:W3CDTF">2026-03-10T08:38:41Z</dcterms:modified>
  <cp:category/>
  <cp:contentStatus/>
</cp:coreProperties>
</file>